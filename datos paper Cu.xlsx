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30" windowWidth="17895" windowHeight="9150" firstSheet="8" activeTab="12"/>
  </bookViews>
  <sheets>
    <sheet name="in vivo eeg gt" sheetId="1" r:id="rId1"/>
    <sheet name="TABLA TOTAL" sheetId="2" r:id="rId2"/>
    <sheet name="glomalina in vitro " sheetId="3" r:id="rId3"/>
    <sheet name="glomalina tesina" sheetId="4" r:id="rId4"/>
    <sheet name="DOS FACTORES" sheetId="5" r:id="rId5"/>
    <sheet name="lh" sheetId="6" r:id="rId6"/>
    <sheet name="LH CU para graphpad" sheetId="7" r:id="rId7"/>
    <sheet name="tabla grande+agregación" sheetId="8" r:id="rId8"/>
    <sheet name="frx in vitro" sheetId="9" r:id="rId9"/>
    <sheet name="BC y FT" sheetId="10" r:id="rId10"/>
    <sheet name="frx in vivo datos crudos" sheetId="11" r:id="rId11"/>
    <sheet name="P in vitro" sheetId="12" r:id="rId12"/>
    <sheet name="Datos" sheetId="13" r:id="rId13"/>
  </sheets>
  <calcPr calcId="144525"/>
  <extLst>
    <ext uri="GoogleSheetsCustomDataVersion1">
      <go:sheetsCustomData xmlns:go="http://customooxmlschemas.google.com/" r:id="" roundtripDataSignature="AMtx7mgEpkwwDCNgLtYGLPtWMnNVNEc8ew=="/>
    </ext>
  </extLst>
</workbook>
</file>

<file path=xl/calcChain.xml><?xml version="1.0" encoding="utf-8"?>
<calcChain xmlns="http://schemas.openxmlformats.org/spreadsheetml/2006/main">
  <c r="J37" i="11" l="1"/>
  <c r="J38" i="11" s="1"/>
  <c r="I37" i="11"/>
  <c r="I38" i="11" s="1"/>
  <c r="H37" i="11"/>
  <c r="H38" i="11" s="1"/>
  <c r="G37" i="11"/>
  <c r="G38" i="11" s="1"/>
  <c r="F37" i="11"/>
  <c r="F38" i="11" s="1"/>
  <c r="E37" i="11"/>
  <c r="E38" i="11" s="1"/>
  <c r="D37" i="11"/>
  <c r="D38" i="11" s="1"/>
  <c r="C37" i="11"/>
  <c r="C38" i="11" s="1"/>
  <c r="B37" i="11"/>
  <c r="B38" i="11" s="1"/>
  <c r="U36" i="11"/>
  <c r="J36" i="11"/>
  <c r="I36" i="11"/>
  <c r="H36" i="11"/>
  <c r="G36" i="11"/>
  <c r="E36" i="11"/>
  <c r="D36" i="11"/>
  <c r="C36" i="11"/>
  <c r="B36" i="11"/>
  <c r="T35" i="11"/>
  <c r="S35" i="11"/>
  <c r="U35" i="11" s="1"/>
  <c r="T34" i="11"/>
  <c r="U34" i="11" s="1"/>
  <c r="S34" i="11"/>
  <c r="U33" i="11"/>
  <c r="T33" i="11"/>
  <c r="S33" i="11"/>
  <c r="T32" i="11"/>
  <c r="S32" i="11"/>
  <c r="U32" i="11" s="1"/>
  <c r="G28" i="11"/>
  <c r="E28" i="11"/>
  <c r="C28" i="11"/>
  <c r="B28" i="11"/>
  <c r="J27" i="11"/>
  <c r="J28" i="11" s="1"/>
  <c r="I27" i="11"/>
  <c r="I28" i="11" s="1"/>
  <c r="H27" i="11"/>
  <c r="H28" i="11" s="1"/>
  <c r="G27" i="11"/>
  <c r="E27" i="11"/>
  <c r="D27" i="11"/>
  <c r="D28" i="11" s="1"/>
  <c r="C27" i="11"/>
  <c r="B27" i="11"/>
  <c r="J26" i="11"/>
  <c r="I26" i="11"/>
  <c r="H26" i="11"/>
  <c r="G26" i="11"/>
  <c r="E26" i="11"/>
  <c r="D26" i="11"/>
  <c r="C26" i="11"/>
  <c r="B26" i="11"/>
  <c r="U18" i="11"/>
  <c r="U19" i="11" s="1"/>
  <c r="T18" i="11"/>
  <c r="T19" i="11" s="1"/>
  <c r="U15" i="11"/>
  <c r="U16" i="11" s="1"/>
  <c r="T15" i="11"/>
  <c r="U12" i="11"/>
  <c r="U13" i="11" s="1"/>
  <c r="T12" i="11"/>
  <c r="T13" i="11" s="1"/>
  <c r="U8" i="11"/>
  <c r="U9" i="11" s="1"/>
  <c r="T8" i="11"/>
  <c r="T9" i="11" s="1"/>
  <c r="U7" i="11"/>
  <c r="F42" i="10"/>
  <c r="E42" i="10"/>
  <c r="D42" i="10"/>
  <c r="H38" i="10"/>
  <c r="G38" i="10"/>
  <c r="F38" i="10"/>
  <c r="G37" i="10"/>
  <c r="F37" i="10"/>
  <c r="H37" i="10" s="1"/>
  <c r="L36" i="10"/>
  <c r="L37" i="10" s="1"/>
  <c r="H36" i="10"/>
  <c r="G36" i="10"/>
  <c r="F36" i="10"/>
  <c r="G35" i="10"/>
  <c r="L35" i="10" s="1"/>
  <c r="F35" i="10"/>
  <c r="K36" i="10" s="1"/>
  <c r="K37" i="10" s="1"/>
  <c r="R34" i="10"/>
  <c r="F34" i="10"/>
  <c r="R33" i="10"/>
  <c r="G33" i="10"/>
  <c r="F33" i="10"/>
  <c r="R32" i="10"/>
  <c r="L32" i="10"/>
  <c r="L33" i="10" s="1"/>
  <c r="G32" i="10"/>
  <c r="F32" i="10"/>
  <c r="H32" i="10" s="1"/>
  <c r="R31" i="10"/>
  <c r="L31" i="10"/>
  <c r="H31" i="10"/>
  <c r="G31" i="10"/>
  <c r="F31" i="10"/>
  <c r="K32" i="10" s="1"/>
  <c r="K33" i="10" s="1"/>
  <c r="R30" i="10"/>
  <c r="R29" i="10"/>
  <c r="K29" i="10"/>
  <c r="H29" i="10"/>
  <c r="G29" i="10"/>
  <c r="F29" i="10"/>
  <c r="R28" i="10"/>
  <c r="K28" i="10"/>
  <c r="G28" i="10"/>
  <c r="H28" i="10" s="1"/>
  <c r="F28" i="10"/>
  <c r="K27" i="10" s="1"/>
  <c r="R27" i="10"/>
  <c r="L27" i="10"/>
  <c r="G27" i="10"/>
  <c r="H27" i="10" s="1"/>
  <c r="F27" i="10"/>
  <c r="R26" i="10"/>
  <c r="G26" i="10"/>
  <c r="F26" i="10"/>
  <c r="R25" i="10"/>
  <c r="H25" i="10"/>
  <c r="G25" i="10"/>
  <c r="F25" i="10"/>
  <c r="R24" i="10"/>
  <c r="H24" i="10"/>
  <c r="G24" i="10"/>
  <c r="F24" i="10"/>
  <c r="R23" i="10"/>
  <c r="L23" i="10"/>
  <c r="G23" i="10"/>
  <c r="L24" i="10" s="1"/>
  <c r="L25" i="10" s="1"/>
  <c r="F23" i="10"/>
  <c r="K24" i="10" s="1"/>
  <c r="K25" i="10" s="1"/>
  <c r="R22" i="10"/>
  <c r="O16" i="10"/>
  <c r="N16" i="10"/>
  <c r="P16" i="10" s="1"/>
  <c r="G16" i="10"/>
  <c r="H16" i="10" s="1"/>
  <c r="F16" i="10"/>
  <c r="O15" i="10"/>
  <c r="P15" i="10" s="1"/>
  <c r="N15" i="10"/>
  <c r="G15" i="10"/>
  <c r="F15" i="10"/>
  <c r="H15" i="10" s="1"/>
  <c r="P14" i="10"/>
  <c r="O14" i="10"/>
  <c r="N14" i="10"/>
  <c r="Q13" i="10" s="1"/>
  <c r="H14" i="10"/>
  <c r="G14" i="10"/>
  <c r="F14" i="10"/>
  <c r="O13" i="10"/>
  <c r="R13" i="10" s="1"/>
  <c r="N13" i="10"/>
  <c r="Q14" i="10" s="1"/>
  <c r="Q15" i="10" s="1"/>
  <c r="H13" i="10"/>
  <c r="G13" i="10"/>
  <c r="F13" i="10"/>
  <c r="O12" i="10"/>
  <c r="P12" i="10" s="1"/>
  <c r="N12" i="10"/>
  <c r="G12" i="10"/>
  <c r="F12" i="10"/>
  <c r="H12" i="10" s="1"/>
  <c r="O11" i="10"/>
  <c r="R10" i="10" s="1"/>
  <c r="N11" i="10"/>
  <c r="G11" i="10"/>
  <c r="F11" i="10"/>
  <c r="H11" i="10" s="1"/>
  <c r="Q10" i="10"/>
  <c r="P10" i="10"/>
  <c r="O10" i="10"/>
  <c r="N10" i="10"/>
  <c r="G10" i="10"/>
  <c r="H10" i="10" s="1"/>
  <c r="F10" i="10"/>
  <c r="O9" i="10"/>
  <c r="N9" i="10"/>
  <c r="Q11" i="10" s="1"/>
  <c r="Q12" i="10" s="1"/>
  <c r="G9" i="10"/>
  <c r="H9" i="10" s="1"/>
  <c r="F9" i="10"/>
  <c r="P8" i="10"/>
  <c r="O8" i="10"/>
  <c r="N8" i="10"/>
  <c r="G8" i="10"/>
  <c r="H8" i="10" s="1"/>
  <c r="F8" i="10"/>
  <c r="R7" i="10"/>
  <c r="R8" i="10" s="1"/>
  <c r="P7" i="10"/>
  <c r="O7" i="10"/>
  <c r="N7" i="10"/>
  <c r="Q7" i="10" s="1"/>
  <c r="Q8" i="10" s="1"/>
  <c r="G7" i="10"/>
  <c r="H7" i="10" s="1"/>
  <c r="F7" i="10"/>
  <c r="R6" i="10"/>
  <c r="O6" i="10"/>
  <c r="N6" i="10"/>
  <c r="Q6" i="10" s="1"/>
  <c r="G6" i="10"/>
  <c r="F6" i="10"/>
  <c r="H6" i="10" s="1"/>
  <c r="O5" i="10"/>
  <c r="N5" i="10"/>
  <c r="Q3" i="10" s="1"/>
  <c r="Q4" i="10" s="1"/>
  <c r="G5" i="10"/>
  <c r="F5" i="10"/>
  <c r="O4" i="10"/>
  <c r="P4" i="10" s="1"/>
  <c r="N4" i="10"/>
  <c r="G4" i="10"/>
  <c r="F4" i="10"/>
  <c r="H4" i="10" s="1"/>
  <c r="O3" i="10"/>
  <c r="R2" i="10" s="1"/>
  <c r="N3" i="10"/>
  <c r="G3" i="10"/>
  <c r="F3" i="10"/>
  <c r="H3" i="10" s="1"/>
  <c r="Q2" i="10"/>
  <c r="P2" i="10"/>
  <c r="O2" i="10"/>
  <c r="N2" i="10"/>
  <c r="G2" i="10"/>
  <c r="H2" i="10" s="1"/>
  <c r="F2" i="10"/>
  <c r="I33" i="9"/>
  <c r="H33" i="9"/>
  <c r="F33" i="9"/>
  <c r="J32" i="9"/>
  <c r="J33" i="9" s="1"/>
  <c r="I32" i="9"/>
  <c r="H32" i="9"/>
  <c r="G32" i="9"/>
  <c r="G33" i="9" s="1"/>
  <c r="F32" i="9"/>
  <c r="E32" i="9"/>
  <c r="E33" i="9" s="1"/>
  <c r="J31" i="9"/>
  <c r="I31" i="9"/>
  <c r="H31" i="9"/>
  <c r="G31" i="9"/>
  <c r="F31" i="9"/>
  <c r="E31" i="9"/>
  <c r="J26" i="9"/>
  <c r="J25" i="9"/>
  <c r="J24" i="9"/>
  <c r="F24" i="9"/>
  <c r="H23" i="9"/>
  <c r="G23" i="9"/>
  <c r="F23" i="9"/>
  <c r="E23" i="9"/>
  <c r="I22" i="9"/>
  <c r="H22" i="9"/>
  <c r="H24" i="9" s="1"/>
  <c r="G22" i="9"/>
  <c r="F22" i="9"/>
  <c r="E22" i="9"/>
  <c r="J21" i="9"/>
  <c r="I21" i="9"/>
  <c r="I24" i="9" s="1"/>
  <c r="I25" i="9" s="1"/>
  <c r="I26" i="9" s="1"/>
  <c r="H21" i="9"/>
  <c r="H25" i="9" s="1"/>
  <c r="H26" i="9" s="1"/>
  <c r="G21" i="9"/>
  <c r="F21" i="9"/>
  <c r="F25" i="9" s="1"/>
  <c r="F26" i="9" s="1"/>
  <c r="E21" i="9"/>
  <c r="O50" i="8"/>
  <c r="P49" i="8"/>
  <c r="P50" i="8" s="1"/>
  <c r="O49" i="8"/>
  <c r="N49" i="8"/>
  <c r="N50" i="8" s="1"/>
  <c r="O48" i="8"/>
  <c r="N48" i="8"/>
  <c r="P48" i="8" s="1"/>
  <c r="Q47" i="8"/>
  <c r="P47" i="8"/>
  <c r="Q46" i="8"/>
  <c r="P46" i="8"/>
  <c r="Q45" i="8"/>
  <c r="P45" i="8"/>
  <c r="Q44" i="8"/>
  <c r="P44" i="8"/>
  <c r="O42" i="8"/>
  <c r="N42" i="8"/>
  <c r="P41" i="8"/>
  <c r="P42" i="8" s="1"/>
  <c r="O41" i="8"/>
  <c r="N41" i="8"/>
  <c r="O40" i="8"/>
  <c r="N40" i="8"/>
  <c r="P40" i="8" s="1"/>
  <c r="P39" i="8"/>
  <c r="Q39" i="8" s="1"/>
  <c r="P38" i="8"/>
  <c r="Q38" i="8" s="1"/>
  <c r="P37" i="8"/>
  <c r="Q37" i="8" s="1"/>
  <c r="P36" i="8"/>
  <c r="Q36" i="8" s="1"/>
  <c r="O33" i="8"/>
  <c r="O34" i="8" s="1"/>
  <c r="N33" i="8"/>
  <c r="N34" i="8" s="1"/>
  <c r="F33" i="8"/>
  <c r="F34" i="8" s="1"/>
  <c r="E33" i="8"/>
  <c r="E34" i="8" s="1"/>
  <c r="D33" i="8"/>
  <c r="D34" i="8" s="1"/>
  <c r="O32" i="8"/>
  <c r="P32" i="8" s="1"/>
  <c r="N32" i="8"/>
  <c r="E32" i="8"/>
  <c r="F32" i="8" s="1"/>
  <c r="D32" i="8"/>
  <c r="P31" i="8"/>
  <c r="Q31" i="8" s="1"/>
  <c r="F31" i="8"/>
  <c r="G31" i="8" s="1"/>
  <c r="P30" i="8"/>
  <c r="Q30" i="8" s="1"/>
  <c r="P29" i="8"/>
  <c r="Q29" i="8" s="1"/>
  <c r="F29" i="8"/>
  <c r="G29" i="8" s="1"/>
  <c r="Q28" i="8"/>
  <c r="P28" i="8"/>
  <c r="G28" i="8"/>
  <c r="F28" i="8"/>
  <c r="O26" i="8"/>
  <c r="O25" i="8"/>
  <c r="N25" i="8"/>
  <c r="N26" i="8" s="1"/>
  <c r="O24" i="8"/>
  <c r="P24" i="8" s="1"/>
  <c r="N24" i="8"/>
  <c r="P23" i="8"/>
  <c r="Q23" i="8" s="1"/>
  <c r="Q22" i="8"/>
  <c r="P22" i="8"/>
  <c r="P21" i="8"/>
  <c r="Q21" i="8" s="1"/>
  <c r="Q20" i="8"/>
  <c r="P20" i="8"/>
  <c r="N18" i="8"/>
  <c r="O17" i="8"/>
  <c r="O18" i="8" s="1"/>
  <c r="N17" i="8"/>
  <c r="O16" i="8"/>
  <c r="P16" i="8" s="1"/>
  <c r="N16" i="8"/>
  <c r="Q15" i="8"/>
  <c r="P15" i="8"/>
  <c r="P14" i="8"/>
  <c r="Q14" i="8" s="1"/>
  <c r="P13" i="8"/>
  <c r="Q13" i="8" s="1"/>
  <c r="P12" i="8"/>
  <c r="Q12" i="8" s="1"/>
  <c r="O10" i="8"/>
  <c r="P9" i="8"/>
  <c r="P10" i="8" s="1"/>
  <c r="O9" i="8"/>
  <c r="N9" i="8"/>
  <c r="N10" i="8" s="1"/>
  <c r="O8" i="8"/>
  <c r="N8" i="8"/>
  <c r="P8" i="8" s="1"/>
  <c r="Q7" i="8"/>
  <c r="P7" i="8"/>
  <c r="Q6" i="8"/>
  <c r="P6" i="8"/>
  <c r="Q5" i="8"/>
  <c r="P5" i="8"/>
  <c r="Q4" i="8"/>
  <c r="P4" i="8"/>
  <c r="F24" i="4"/>
  <c r="C24" i="4"/>
  <c r="K23" i="4"/>
  <c r="F23" i="4"/>
  <c r="E23" i="4"/>
  <c r="E24" i="4" s="1"/>
  <c r="D23" i="4"/>
  <c r="D24" i="4" s="1"/>
  <c r="C23" i="4"/>
  <c r="B23" i="4"/>
  <c r="B24" i="4" s="1"/>
  <c r="K22" i="4"/>
  <c r="F22" i="4"/>
  <c r="E22" i="4"/>
  <c r="D22" i="4"/>
  <c r="C22" i="4"/>
  <c r="B22" i="4"/>
  <c r="K21" i="4"/>
  <c r="K20" i="4"/>
  <c r="L14" i="4"/>
  <c r="H14" i="4"/>
  <c r="L13" i="4"/>
  <c r="H13" i="4"/>
  <c r="L12" i="4"/>
  <c r="H12" i="4"/>
  <c r="L11" i="4"/>
  <c r="H11" i="4"/>
  <c r="D7" i="4"/>
  <c r="B7" i="4"/>
  <c r="E6" i="4"/>
  <c r="E7" i="4" s="1"/>
  <c r="D6" i="4"/>
  <c r="B6" i="4"/>
  <c r="A6" i="4"/>
  <c r="A7" i="4" s="1"/>
  <c r="E5" i="4"/>
  <c r="D5" i="4"/>
  <c r="B5" i="4"/>
  <c r="A5" i="4"/>
  <c r="C4" i="4"/>
  <c r="B4" i="4"/>
  <c r="C3" i="4"/>
  <c r="B3" i="4"/>
  <c r="C2" i="4"/>
  <c r="B2" i="4"/>
  <c r="C1" i="4"/>
  <c r="C6" i="4" s="1"/>
  <c r="C7" i="4" s="1"/>
  <c r="B1" i="4"/>
  <c r="R40" i="3"/>
  <c r="S40" i="3" s="1"/>
  <c r="G40" i="3"/>
  <c r="F40" i="3"/>
  <c r="R39" i="3"/>
  <c r="S39" i="3" s="1"/>
  <c r="G39" i="3"/>
  <c r="F39" i="3"/>
  <c r="S38" i="3"/>
  <c r="R38" i="3"/>
  <c r="G38" i="3"/>
  <c r="F38" i="3"/>
  <c r="S37" i="3"/>
  <c r="R37" i="3"/>
  <c r="G37" i="3"/>
  <c r="F37" i="3"/>
  <c r="R36" i="3"/>
  <c r="S36" i="3" s="1"/>
  <c r="G36" i="3"/>
  <c r="F36" i="3"/>
  <c r="R35" i="3"/>
  <c r="S35" i="3" s="1"/>
  <c r="G35" i="3"/>
  <c r="F35" i="3"/>
  <c r="S34" i="3"/>
  <c r="R34" i="3"/>
  <c r="G34" i="3"/>
  <c r="F34" i="3"/>
  <c r="S33" i="3"/>
  <c r="R33" i="3"/>
  <c r="G33" i="3"/>
  <c r="F33" i="3"/>
  <c r="R32" i="3"/>
  <c r="S32" i="3" s="1"/>
  <c r="G32" i="3"/>
  <c r="F32" i="3"/>
  <c r="R31" i="3"/>
  <c r="S31" i="3" s="1"/>
  <c r="G31" i="3"/>
  <c r="F31" i="3"/>
  <c r="S30" i="3"/>
  <c r="R30" i="3"/>
  <c r="G30" i="3"/>
  <c r="F30" i="3"/>
  <c r="S29" i="3"/>
  <c r="R29" i="3"/>
  <c r="G29" i="3"/>
  <c r="F29" i="3"/>
  <c r="R28" i="3"/>
  <c r="S28" i="3" s="1"/>
  <c r="G28" i="3"/>
  <c r="F28" i="3"/>
  <c r="R27" i="3"/>
  <c r="S27" i="3" s="1"/>
  <c r="G27" i="3"/>
  <c r="F27" i="3"/>
  <c r="S26" i="3"/>
  <c r="R26" i="3"/>
  <c r="G26" i="3"/>
  <c r="F26" i="3"/>
  <c r="S25" i="3"/>
  <c r="R25" i="3"/>
  <c r="G25" i="3"/>
  <c r="F25" i="3"/>
  <c r="N20" i="3"/>
  <c r="P20" i="3" s="1"/>
  <c r="P19" i="3"/>
  <c r="N19" i="3"/>
  <c r="D19" i="3"/>
  <c r="P18" i="3"/>
  <c r="O18" i="3"/>
  <c r="N18" i="3"/>
  <c r="D18" i="3"/>
  <c r="N17" i="3"/>
  <c r="Q16" i="3" s="1"/>
  <c r="R16" i="3" s="1"/>
  <c r="D17" i="3"/>
  <c r="P16" i="3"/>
  <c r="N16" i="3"/>
  <c r="D16" i="3"/>
  <c r="N15" i="3"/>
  <c r="P15" i="3" s="1"/>
  <c r="F15" i="3"/>
  <c r="D15" i="3"/>
  <c r="P14" i="3"/>
  <c r="N14" i="3"/>
  <c r="D14" i="3"/>
  <c r="Q13" i="3"/>
  <c r="R13" i="3" s="1"/>
  <c r="O13" i="3"/>
  <c r="N13" i="3"/>
  <c r="P13" i="3" s="1"/>
  <c r="D13" i="3"/>
  <c r="P12" i="3"/>
  <c r="N12" i="3"/>
  <c r="D12" i="3"/>
  <c r="N11" i="3"/>
  <c r="P11" i="3" s="1"/>
  <c r="D11" i="3"/>
  <c r="Q10" i="3"/>
  <c r="R10" i="3" s="1"/>
  <c r="O10" i="3"/>
  <c r="N10" i="3"/>
  <c r="P10" i="3" s="1"/>
  <c r="D10" i="3"/>
  <c r="N9" i="3"/>
  <c r="P9" i="3" s="1"/>
  <c r="D9" i="3"/>
  <c r="N8" i="3"/>
  <c r="P8" i="3" s="1"/>
  <c r="D8" i="3"/>
  <c r="N7" i="3"/>
  <c r="P7" i="3" s="1"/>
  <c r="D7" i="3"/>
  <c r="P6" i="3"/>
  <c r="N6" i="3"/>
  <c r="D6" i="3"/>
  <c r="N5" i="3"/>
  <c r="P5" i="3" s="1"/>
  <c r="F5" i="3"/>
  <c r="E5" i="3"/>
  <c r="D5" i="3"/>
  <c r="R4" i="3"/>
  <c r="N4" i="3"/>
  <c r="P4" i="3" s="1"/>
  <c r="D4" i="3"/>
  <c r="X59" i="2"/>
  <c r="W59" i="2"/>
  <c r="V59" i="2"/>
  <c r="U59" i="2"/>
  <c r="T59" i="2"/>
  <c r="S59" i="2"/>
  <c r="R59" i="2"/>
  <c r="Q59" i="2"/>
  <c r="P59" i="2"/>
  <c r="J59" i="2"/>
  <c r="H59" i="2"/>
  <c r="G59" i="2"/>
  <c r="F59" i="2"/>
  <c r="E59" i="2"/>
  <c r="J58" i="2"/>
  <c r="H58" i="2"/>
  <c r="G58" i="2"/>
  <c r="F58" i="2"/>
  <c r="E58" i="2"/>
  <c r="X57" i="2"/>
  <c r="W57" i="2"/>
  <c r="V57" i="2"/>
  <c r="U57" i="2"/>
  <c r="T57" i="2"/>
  <c r="S57" i="2"/>
  <c r="R57" i="2"/>
  <c r="Q57" i="2"/>
  <c r="P57" i="2"/>
  <c r="J57" i="2"/>
  <c r="H57" i="2"/>
  <c r="G57" i="2"/>
  <c r="F57" i="2"/>
  <c r="E57" i="2"/>
  <c r="X56" i="2"/>
  <c r="W56" i="2"/>
  <c r="V56" i="2"/>
  <c r="U56" i="2"/>
  <c r="T56" i="2"/>
  <c r="S56" i="2"/>
  <c r="R56" i="2"/>
  <c r="Q56" i="2"/>
  <c r="P56" i="2"/>
  <c r="H56" i="2"/>
  <c r="G56" i="2"/>
  <c r="F56" i="2"/>
  <c r="E56" i="2"/>
  <c r="H55" i="2"/>
  <c r="G55" i="2"/>
  <c r="F55" i="2"/>
  <c r="E55" i="2"/>
  <c r="X54" i="2"/>
  <c r="W54" i="2"/>
  <c r="V54" i="2"/>
  <c r="U54" i="2"/>
  <c r="T54" i="2"/>
  <c r="S54" i="2"/>
  <c r="R54" i="2"/>
  <c r="Q54" i="2"/>
  <c r="P54" i="2"/>
  <c r="H54" i="2"/>
  <c r="G54" i="2"/>
  <c r="F54" i="2"/>
  <c r="E54" i="2"/>
  <c r="V53" i="2"/>
  <c r="S53" i="2"/>
  <c r="O53" i="2"/>
  <c r="N53" i="2"/>
  <c r="M53" i="2"/>
  <c r="L53" i="2"/>
  <c r="K53" i="2"/>
  <c r="I53" i="2"/>
  <c r="H53" i="2"/>
  <c r="G53" i="2"/>
  <c r="F53" i="2"/>
  <c r="E53" i="2"/>
  <c r="V52" i="2"/>
  <c r="S52" i="2"/>
  <c r="O52" i="2"/>
  <c r="N52" i="2"/>
  <c r="M52" i="2"/>
  <c r="L52" i="2"/>
  <c r="K52" i="2"/>
  <c r="I52" i="2"/>
  <c r="H52" i="2"/>
  <c r="G52" i="2"/>
  <c r="F52" i="2"/>
  <c r="E52" i="2"/>
  <c r="V51" i="2"/>
  <c r="S51" i="2"/>
  <c r="O51" i="2"/>
  <c r="N51" i="2"/>
  <c r="M51" i="2"/>
  <c r="L51" i="2"/>
  <c r="K51" i="2"/>
  <c r="I51" i="2"/>
  <c r="H51" i="2"/>
  <c r="G51" i="2"/>
  <c r="F51" i="2"/>
  <c r="E51" i="2"/>
  <c r="V50" i="2"/>
  <c r="S50" i="2"/>
  <c r="O50" i="2"/>
  <c r="N50" i="2"/>
  <c r="M50" i="2"/>
  <c r="L50" i="2"/>
  <c r="K50" i="2"/>
  <c r="J50" i="2"/>
  <c r="I50" i="2"/>
  <c r="H50" i="2"/>
  <c r="G50" i="2"/>
  <c r="F50" i="2"/>
  <c r="E50" i="2"/>
  <c r="V49" i="2"/>
  <c r="S49" i="2"/>
  <c r="O49" i="2"/>
  <c r="N49" i="2"/>
  <c r="M49" i="2"/>
  <c r="L49" i="2"/>
  <c r="K49" i="2"/>
  <c r="J49" i="2"/>
  <c r="I49" i="2"/>
  <c r="H49" i="2"/>
  <c r="G49" i="2"/>
  <c r="F49" i="2"/>
  <c r="E49" i="2"/>
  <c r="V48" i="2"/>
  <c r="S48" i="2"/>
  <c r="O48" i="2"/>
  <c r="N48" i="2"/>
  <c r="M48" i="2"/>
  <c r="L48" i="2"/>
  <c r="K48" i="2"/>
  <c r="J48" i="2"/>
  <c r="I48" i="2"/>
  <c r="H48" i="2"/>
  <c r="G48" i="2"/>
  <c r="F48" i="2"/>
  <c r="E48" i="2"/>
  <c r="D43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B10" i="1"/>
  <c r="B9" i="1"/>
  <c r="B8" i="1"/>
  <c r="H32" i="8" l="1"/>
  <c r="G32" i="8"/>
  <c r="Q24" i="8"/>
  <c r="R32" i="8"/>
  <c r="Q32" i="8"/>
  <c r="R40" i="8"/>
  <c r="Q40" i="8"/>
  <c r="P26" i="8"/>
  <c r="R24" i="8" s="1"/>
  <c r="R16" i="8"/>
  <c r="Q16" i="8"/>
  <c r="M32" i="10"/>
  <c r="M33" i="10" s="1"/>
  <c r="L39" i="10"/>
  <c r="M39" i="10" s="1"/>
  <c r="R8" i="8"/>
  <c r="Q8" i="8"/>
  <c r="R48" i="8"/>
  <c r="Q48" i="8"/>
  <c r="M27" i="10"/>
  <c r="M28" i="10"/>
  <c r="M29" i="10" s="1"/>
  <c r="R14" i="10"/>
  <c r="R15" i="10" s="1"/>
  <c r="P17" i="3"/>
  <c r="P17" i="8"/>
  <c r="P18" i="8" s="1"/>
  <c r="E24" i="9"/>
  <c r="E25" i="9" s="1"/>
  <c r="E26" i="9" s="1"/>
  <c r="G24" i="9"/>
  <c r="G25" i="9" s="1"/>
  <c r="G26" i="9" s="1"/>
  <c r="P3" i="10"/>
  <c r="P11" i="10"/>
  <c r="K31" i="10"/>
  <c r="P25" i="8"/>
  <c r="P9" i="10"/>
  <c r="H23" i="10"/>
  <c r="P33" i="8"/>
  <c r="P34" i="8" s="1"/>
  <c r="R3" i="10"/>
  <c r="R4" i="10" s="1"/>
  <c r="R11" i="10"/>
  <c r="R12" i="10" s="1"/>
  <c r="P13" i="10"/>
  <c r="K23" i="10"/>
  <c r="L28" i="10"/>
  <c r="L29" i="10" s="1"/>
  <c r="M31" i="10"/>
  <c r="C5" i="4"/>
  <c r="H35" i="10"/>
  <c r="P6" i="10"/>
  <c r="K35" i="10"/>
  <c r="Q18" i="3"/>
  <c r="R18" i="3" s="1"/>
  <c r="O16" i="3"/>
  <c r="K39" i="10"/>
  <c r="O4" i="3"/>
  <c r="M24" i="10" l="1"/>
  <c r="M25" i="10" s="1"/>
  <c r="M23" i="10"/>
  <c r="S10" i="10"/>
  <c r="S11" i="10"/>
  <c r="S12" i="10" s="1"/>
  <c r="S2" i="10"/>
  <c r="S3" i="10"/>
  <c r="S4" i="10" s="1"/>
  <c r="M35" i="10"/>
  <c r="M36" i="10"/>
  <c r="M37" i="10" s="1"/>
  <c r="S6" i="10"/>
  <c r="S7" i="10"/>
  <c r="S8" i="10" s="1"/>
  <c r="S13" i="10"/>
  <c r="S14" i="10"/>
  <c r="S15" i="10" s="1"/>
</calcChain>
</file>

<file path=xl/comments1.xml><?xml version="1.0" encoding="utf-8"?>
<comments xmlns="http://schemas.openxmlformats.org/spreadsheetml/2006/main">
  <authors>
    <author/>
  </authors>
  <commentList>
    <comment ref="U2" authorId="0">
      <text>
        <r>
          <rPr>
            <sz val="11"/>
            <color theme="1"/>
            <rFont val="Arial"/>
          </rPr>
          <t>======
ID#AAAAL20uEZY
Vanesa    (2021-03-29 18:41:20)
Con micropixe no hay valor de Cu?
------
ID#AAAAL20uEZg
Vanesa    (2021-03-29 18:41:43)
y de P, sino hay que decirle a Emmanuel que los calcule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" roundtripDataSignature="AMtx7mi9Ob8dCLT2DKz3hrezcRZ1n9qIBw=="/>
    </ext>
  </extLst>
</comments>
</file>

<file path=xl/comments2.xml><?xml version="1.0" encoding="utf-8"?>
<comments xmlns="http://schemas.openxmlformats.org/spreadsheetml/2006/main">
  <authors>
    <author/>
  </authors>
  <commentList>
    <comment ref="U2" authorId="0">
      <text>
        <r>
          <rPr>
            <sz val="11"/>
            <color theme="1"/>
            <rFont val="Arial"/>
          </rPr>
          <t>======
ID#AAAAL20uEZY
Vanesa    (2021-03-29 18:41:20)
Con micropixe no hay valor de Cu?
------
ID#AAAAL20uEZg
Vanesa    (2021-03-29 18:41:43)
y de P, sino hay que decirle a Emmanuel que los calcule</t>
        </r>
      </text>
    </comment>
  </commentList>
</comments>
</file>

<file path=xl/sharedStrings.xml><?xml version="1.0" encoding="utf-8"?>
<sst xmlns="http://schemas.openxmlformats.org/spreadsheetml/2006/main" count="1330" uniqueCount="343">
  <si>
    <t>GT</t>
  </si>
  <si>
    <t>GC3</t>
  </si>
  <si>
    <t>W/I</t>
  </si>
  <si>
    <t>EE GC3</t>
  </si>
  <si>
    <t>EE W/I</t>
  </si>
  <si>
    <t>GEE</t>
  </si>
  <si>
    <t>cu 0</t>
  </si>
  <si>
    <t>cu 1</t>
  </si>
  <si>
    <t>cu 2</t>
  </si>
  <si>
    <t>W/I 0</t>
  </si>
  <si>
    <t>WI 2</t>
  </si>
  <si>
    <t>WI 3</t>
  </si>
  <si>
    <t>Cu 0</t>
  </si>
  <si>
    <t>Cu 1</t>
  </si>
  <si>
    <t>Cu 2</t>
  </si>
  <si>
    <t>EEG (50 ML)</t>
  </si>
  <si>
    <t>Vol (ml)</t>
  </si>
  <si>
    <t>cu0</t>
  </si>
  <si>
    <t>cu1</t>
  </si>
  <si>
    <t>cu2</t>
  </si>
  <si>
    <t>control</t>
  </si>
  <si>
    <t>ph 8</t>
  </si>
  <si>
    <t>EEG</t>
  </si>
  <si>
    <t>desvio</t>
  </si>
  <si>
    <t>ee</t>
  </si>
  <si>
    <t>c</t>
  </si>
  <si>
    <t>promedio</t>
  </si>
  <si>
    <t>desv</t>
  </si>
  <si>
    <t>TRAT</t>
  </si>
  <si>
    <t>Inoculo</t>
  </si>
  <si>
    <t>Cu</t>
  </si>
  <si>
    <t>%F</t>
  </si>
  <si>
    <t>%I</t>
  </si>
  <si>
    <t>gfe</t>
  </si>
  <si>
    <t>gt</t>
  </si>
  <si>
    <t xml:space="preserve">Esporas </t>
  </si>
  <si>
    <t>Long Hih</t>
  </si>
  <si>
    <t>Fe</t>
  </si>
  <si>
    <t>Zn</t>
  </si>
  <si>
    <t>Cr</t>
  </si>
  <si>
    <t>Ni</t>
  </si>
  <si>
    <t>Pb</t>
  </si>
  <si>
    <t>BC Raiz</t>
  </si>
  <si>
    <t>BC Tallo</t>
  </si>
  <si>
    <t>FT</t>
  </si>
  <si>
    <t>Cu Suelo</t>
  </si>
  <si>
    <t>Cu Vástago</t>
  </si>
  <si>
    <t>Cu Raiz</t>
  </si>
  <si>
    <t>P Suelo</t>
  </si>
  <si>
    <t>P Vástago</t>
  </si>
  <si>
    <t>P Raíz</t>
  </si>
  <si>
    <t>In vitro</t>
  </si>
  <si>
    <t>---</t>
  </si>
  <si>
    <t>Muestra 16, no se midió pastilla?</t>
  </si>
  <si>
    <t>estaba contaminada</t>
  </si>
  <si>
    <t>in vivo</t>
  </si>
  <si>
    <t>80.91</t>
  </si>
  <si>
    <t>Tabla de medias</t>
  </si>
  <si>
    <t>esporas</t>
  </si>
  <si>
    <t>in vitro</t>
  </si>
  <si>
    <t>C</t>
  </si>
  <si>
    <t>C0</t>
  </si>
  <si>
    <t>C2</t>
  </si>
  <si>
    <t>GC30</t>
  </si>
  <si>
    <t>GC32</t>
  </si>
  <si>
    <t>GFE</t>
  </si>
  <si>
    <t>CU</t>
  </si>
  <si>
    <t>HMA</t>
  </si>
  <si>
    <t xml:space="preserve">abs </t>
  </si>
  <si>
    <t>UG ( 0,023)</t>
  </si>
  <si>
    <t xml:space="preserve">mean </t>
  </si>
  <si>
    <t xml:space="preserve">sd </t>
  </si>
  <si>
    <t xml:space="preserve">n </t>
  </si>
  <si>
    <t>UG ( 0,0319)</t>
  </si>
  <si>
    <t>SI</t>
  </si>
  <si>
    <t>NO</t>
  </si>
  <si>
    <t>valores obtenidos el 6/04/21</t>
  </si>
  <si>
    <t>TG</t>
  </si>
  <si>
    <t>multiplicarlo porque diluí la muestra a la mitad</t>
  </si>
  <si>
    <t>Y=0.0354x</t>
  </si>
  <si>
    <t>abs</t>
  </si>
  <si>
    <t>x2</t>
  </si>
  <si>
    <t>UG EN LA MUESTRA</t>
  </si>
  <si>
    <t>m</t>
  </si>
  <si>
    <t>gc3 1</t>
  </si>
  <si>
    <t>n</t>
  </si>
  <si>
    <t>ñ</t>
  </si>
  <si>
    <t>o</t>
  </si>
  <si>
    <t>w/i 1</t>
  </si>
  <si>
    <t>p</t>
  </si>
  <si>
    <t>sd</t>
  </si>
  <si>
    <t>q</t>
  </si>
  <si>
    <t>r</t>
  </si>
  <si>
    <t>gc32</t>
  </si>
  <si>
    <t>s</t>
  </si>
  <si>
    <t>gc3 2</t>
  </si>
  <si>
    <t>t</t>
  </si>
  <si>
    <t>v</t>
  </si>
  <si>
    <t>w/i 2</t>
  </si>
  <si>
    <t>w</t>
  </si>
  <si>
    <t>x</t>
  </si>
  <si>
    <t>y</t>
  </si>
  <si>
    <t>gc3 0</t>
  </si>
  <si>
    <t>z</t>
  </si>
  <si>
    <t>ct 1</t>
  </si>
  <si>
    <t xml:space="preserve">ct2 </t>
  </si>
  <si>
    <t>DE EEG</t>
  </si>
  <si>
    <t>DE GT</t>
  </si>
  <si>
    <t>CONTROL</t>
  </si>
  <si>
    <t>PROM</t>
  </si>
  <si>
    <t>DV</t>
  </si>
  <si>
    <t>EE</t>
  </si>
  <si>
    <t>INOCULO</t>
  </si>
  <si>
    <t>NIVEL CU</t>
  </si>
  <si>
    <t>W/I 1</t>
  </si>
  <si>
    <t>W/I 2</t>
  </si>
  <si>
    <t>inoculo</t>
  </si>
  <si>
    <t>nivel de cobre</t>
  </si>
  <si>
    <t>nivel de cobre*inoculo</t>
  </si>
  <si>
    <t>CU*INOCULO</t>
  </si>
  <si>
    <t>P</t>
  </si>
  <si>
    <t>P*INOCULO</t>
  </si>
  <si>
    <t xml:space="preserve">IN VITRO </t>
  </si>
  <si>
    <t>cu</t>
  </si>
  <si>
    <t>LH</t>
  </si>
  <si>
    <t>casa</t>
  </si>
  <si>
    <t>cobre</t>
  </si>
  <si>
    <t>method of estimating the total lenght of root sample Newman EI 1987</t>
  </si>
  <si>
    <t>PI*A/2*98</t>
  </si>
  <si>
    <t>N</t>
  </si>
  <si>
    <t>R CASA</t>
  </si>
  <si>
    <t>N CU 0</t>
  </si>
  <si>
    <t>R cu 0</t>
  </si>
  <si>
    <t>CU 1</t>
  </si>
  <si>
    <t>RCU 1</t>
  </si>
  <si>
    <t>CU 2</t>
  </si>
  <si>
    <t>R</t>
  </si>
  <si>
    <t>GC31</t>
  </si>
  <si>
    <t>GC33</t>
  </si>
  <si>
    <t>GC34</t>
  </si>
  <si>
    <t>GX41</t>
  </si>
  <si>
    <t>GX42</t>
  </si>
  <si>
    <t>GX43</t>
  </si>
  <si>
    <t>GX44</t>
  </si>
  <si>
    <t>GB31</t>
  </si>
  <si>
    <t>GB32</t>
  </si>
  <si>
    <t>GB33</t>
  </si>
  <si>
    <t>GB34</t>
  </si>
  <si>
    <t>GX81</t>
  </si>
  <si>
    <t>GX82</t>
  </si>
  <si>
    <t>GX83</t>
  </si>
  <si>
    <t>GX84</t>
  </si>
  <si>
    <t>colonization of sunflowers after three months with and without Cu treatment.</t>
  </si>
  <si>
    <t>Treatment</t>
  </si>
  <si>
    <r>
      <rPr>
        <sz val="11"/>
        <color rgb="FF000000"/>
        <rFont val="Times New Roman"/>
      </rPr>
      <t xml:space="preserve">Root dry biomass </t>
    </r>
    <r>
      <rPr>
        <sz val="10"/>
        <color rgb="FF000000"/>
        <rFont val="Times New Roman"/>
      </rPr>
      <t>(g)</t>
    </r>
  </si>
  <si>
    <r>
      <rPr>
        <sz val="11"/>
        <color rgb="FF000000"/>
        <rFont val="Times New Roman"/>
      </rPr>
      <t xml:space="preserve">Shoot dry biomass </t>
    </r>
    <r>
      <rPr>
        <sz val="10"/>
        <color rgb="FF000000"/>
        <rFont val="Times New Roman"/>
      </rPr>
      <t>(g)</t>
    </r>
    <r>
      <rPr>
        <sz val="11"/>
        <color rgb="FF000000"/>
        <rFont val="Times New Roman"/>
      </rPr>
      <t> </t>
    </r>
  </si>
  <si>
    <r>
      <rPr>
        <sz val="11"/>
        <color rgb="FF000000"/>
        <rFont val="Times New Roman"/>
      </rPr>
      <t xml:space="preserve">Total plant dry  biomass </t>
    </r>
    <r>
      <rPr>
        <sz val="10"/>
        <color rgb="FF000000"/>
        <rFont val="Times New Roman"/>
      </rPr>
      <t>(g)</t>
    </r>
  </si>
  <si>
    <t>Shoot/root dry biomass ratio</t>
  </si>
  <si>
    <t>Hyphal length </t>
  </si>
  <si>
    <r>
      <rPr>
        <sz val="12"/>
        <color rgb="FF000000"/>
        <rFont val="Times New Roman"/>
      </rPr>
      <t xml:space="preserve">Soil aggregation </t>
    </r>
    <r>
      <rPr>
        <sz val="10"/>
        <color rgb="FF000000"/>
        <rFont val="Times New Roman"/>
      </rPr>
      <t>(g dry soil g</t>
    </r>
    <r>
      <rPr>
        <vertAlign val="superscript"/>
        <sz val="6"/>
        <color rgb="FF000000"/>
        <rFont val="Times New Roman"/>
      </rPr>
      <t>-1</t>
    </r>
    <r>
      <rPr>
        <sz val="10"/>
        <color rgb="FF000000"/>
        <rFont val="Times New Roman"/>
      </rPr>
      <t xml:space="preserve"> fresh root)</t>
    </r>
  </si>
  <si>
    <t>peso fresco raíz</t>
  </si>
  <si>
    <t>TIERRA SIN RAIZ</t>
  </si>
  <si>
    <t>&amp; adherido</t>
  </si>
  <si>
    <t>p(dN)+N(dP)/N.N</t>
  </si>
  <si>
    <r>
      <rPr>
        <sz val="10"/>
        <color rgb="FF000000"/>
        <rFont val="Times New Roman"/>
      </rPr>
      <t>(cm g</t>
    </r>
    <r>
      <rPr>
        <vertAlign val="superscript"/>
        <sz val="6"/>
        <color rgb="FF000000"/>
        <rFont val="Times New Roman"/>
      </rPr>
      <t>-1</t>
    </r>
    <r>
      <rPr>
        <sz val="10"/>
        <color rgb="FF000000"/>
        <rFont val="Times New Roman"/>
      </rPr>
      <t>)</t>
    </r>
  </si>
  <si>
    <t>GC3-Cu0</t>
  </si>
  <si>
    <t>  0.75 ± 0.075</t>
  </si>
  <si>
    <t>6.08 ± 1.04 a*</t>
  </si>
  <si>
    <t>4.56 ± 1.04</t>
  </si>
  <si>
    <t>8.11 ± 0.2</t>
  </si>
  <si>
    <t>79.8 ± 3.56</t>
  </si>
  <si>
    <t>21.9 ± 3.13</t>
  </si>
  <si>
    <t>80.3 ± 11 b</t>
  </si>
  <si>
    <t>282,1± 44,12 a</t>
  </si>
  <si>
    <t>W/I-Cu0 </t>
  </si>
  <si>
    <t>0.99 ± 0.05</t>
  </si>
  <si>
    <t>11.15 ± 0.71  a</t>
  </si>
  <si>
    <t>12.14 ± 0.71</t>
  </si>
  <si>
    <t>11.26 ± 0.08</t>
  </si>
  <si>
    <t>-</t>
  </si>
  <si>
    <t>323,8± 205 a</t>
  </si>
  <si>
    <t>GC3-Cu1</t>
  </si>
  <si>
    <t>0.76 ± 0.12</t>
  </si>
  <si>
    <t>10.69 ± 0.60 a</t>
  </si>
  <si>
    <t>11.45 ± 0.61</t>
  </si>
  <si>
    <t>14.07 ± 0.16</t>
  </si>
  <si>
    <t>77.7± 10.83</t>
  </si>
  <si>
    <t>17.6± 5.41</t>
  </si>
  <si>
    <t>65.7 ± 15.15b</t>
  </si>
  <si>
    <t>257,4± 54,9 a</t>
  </si>
  <si>
    <t>W/I-Cu1</t>
  </si>
  <si>
    <t>0.47 ± 0.1</t>
  </si>
  <si>
    <t>8.62 ± 1.48 a</t>
  </si>
  <si>
    <t>9.09 ± 0.61</t>
  </si>
  <si>
    <t>18.34 ± 0.27</t>
  </si>
  <si>
    <t>386,8± 37,7 a</t>
  </si>
  <si>
    <t>GC3-Cu2</t>
  </si>
  <si>
    <t>0.67 ± 0.03</t>
  </si>
  <si>
    <t>11.44 ± 0.26 a</t>
  </si>
  <si>
    <t>12.11 ± 0.26</t>
  </si>
  <si>
    <t>17.20 ± 0.05</t>
  </si>
  <si>
    <t>76.6± 2.71</t>
  </si>
  <si>
    <t>19.9± 1.14</t>
  </si>
  <si>
    <t>50.9 ± 7.93b</t>
  </si>
  <si>
    <t>539,6± 18,31 a</t>
  </si>
  <si>
    <t>W/I-Cu2</t>
  </si>
  <si>
    <t>0.87 ± 0.14</t>
  </si>
  <si>
    <t>10.56 ± 1.36 a</t>
  </si>
  <si>
    <t>11.4 ± 1.36</t>
  </si>
  <si>
    <t>12.13 ± 0.17</t>
  </si>
  <si>
    <t>379,7± 24,9 a</t>
  </si>
  <si>
    <t>S/I</t>
  </si>
  <si>
    <t>riachuelo</t>
  </si>
  <si>
    <t>%</t>
  </si>
  <si>
    <t>ppm</t>
  </si>
  <si>
    <t>micorrizada</t>
  </si>
  <si>
    <t>hma</t>
  </si>
  <si>
    <t>si</t>
  </si>
  <si>
    <t>&lt;30</t>
  </si>
  <si>
    <t>&lt;15</t>
  </si>
  <si>
    <t>no</t>
  </si>
  <si>
    <t>&lt;40</t>
  </si>
  <si>
    <t>Cu ppm</t>
  </si>
  <si>
    <t>P%</t>
  </si>
  <si>
    <t>tratamiento</t>
  </si>
  <si>
    <t>[cu]root</t>
  </si>
  <si>
    <t>[cu] tallo</t>
  </si>
  <si>
    <t>cu suelo</t>
  </si>
  <si>
    <t>Raiz  BC</t>
  </si>
  <si>
    <t>tallo BC</t>
  </si>
  <si>
    <t>[p]root</t>
  </si>
  <si>
    <t>[p] tallo</t>
  </si>
  <si>
    <t>p suelo</t>
  </si>
  <si>
    <t>bcr</t>
  </si>
  <si>
    <t>bct</t>
  </si>
  <si>
    <t>ft</t>
  </si>
  <si>
    <t>w/i</t>
  </si>
  <si>
    <t>BC=  (METAL TALLO O R)/SUELO</t>
  </si>
  <si>
    <t>Ft= bc tallo/bc raiz</t>
  </si>
  <si>
    <t>BC R</t>
  </si>
  <si>
    <t>BCT</t>
  </si>
  <si>
    <t>TF</t>
  </si>
  <si>
    <t>PASAJE DE UNIDADES A PPM Y A LA MASA DEL ELEMENTO.</t>
  </si>
  <si>
    <t>SUELO</t>
  </si>
  <si>
    <t>TALLO</t>
  </si>
  <si>
    <t>P2O5(%)</t>
  </si>
  <si>
    <t>P2O5 PPM</t>
  </si>
  <si>
    <t>P ELEMENTAL ppm</t>
  </si>
  <si>
    <t>CU ELEMENT ppm</t>
  </si>
  <si>
    <t>P°(ppm)</t>
  </si>
  <si>
    <t>Cu°(ppm)</t>
  </si>
  <si>
    <t>RAIZ</t>
  </si>
  <si>
    <t>1T</t>
  </si>
  <si>
    <t>S/I CU 0</t>
  </si>
  <si>
    <t>S/I CU0</t>
  </si>
  <si>
    <t>1V</t>
  </si>
  <si>
    <t>muestra raiz</t>
  </si>
  <si>
    <t>nivel de Cu</t>
  </si>
  <si>
    <t>P ppm</t>
  </si>
  <si>
    <t>2T</t>
  </si>
  <si>
    <t>2V</t>
  </si>
  <si>
    <t>3T</t>
  </si>
  <si>
    <t>3V</t>
  </si>
  <si>
    <t>4T</t>
  </si>
  <si>
    <t>S/I CU2</t>
  </si>
  <si>
    <t>4V</t>
  </si>
  <si>
    <t>6T</t>
  </si>
  <si>
    <t>6V</t>
  </si>
  <si>
    <t>7T</t>
  </si>
  <si>
    <t>7V</t>
  </si>
  <si>
    <t>8T</t>
  </si>
  <si>
    <t>8V</t>
  </si>
  <si>
    <t>9T</t>
  </si>
  <si>
    <t>I CU0</t>
  </si>
  <si>
    <t>9V</t>
  </si>
  <si>
    <t>10T</t>
  </si>
  <si>
    <t>10V</t>
  </si>
  <si>
    <t>11T</t>
  </si>
  <si>
    <t>11V</t>
  </si>
  <si>
    <t>12T</t>
  </si>
  <si>
    <t>12V</t>
  </si>
  <si>
    <t>13T</t>
  </si>
  <si>
    <t>I CU2</t>
  </si>
  <si>
    <t>14V</t>
  </si>
  <si>
    <t>14T</t>
  </si>
  <si>
    <t>15V</t>
  </si>
  <si>
    <t>15T</t>
  </si>
  <si>
    <t>16V</t>
  </si>
  <si>
    <t>16T</t>
  </si>
  <si>
    <t>sin 0</t>
  </si>
  <si>
    <t>sin 2</t>
  </si>
  <si>
    <t>In vivo assay</t>
  </si>
  <si>
    <t>Total P (ppm)</t>
  </si>
  <si>
    <t>Total Cu (ppm)</t>
  </si>
  <si>
    <t>Shoot</t>
  </si>
  <si>
    <t>Roots</t>
  </si>
  <si>
    <t>Soil</t>
  </si>
  <si>
    <t>306,5±192</t>
  </si>
  <si>
    <t>146,7±12,6</t>
  </si>
  <si>
    <t>635,3±9,8</t>
  </si>
  <si>
    <t>21,9±4,5</t>
  </si>
  <si>
    <t>14±1</t>
  </si>
  <si>
    <t>66,9±20,6</t>
  </si>
  <si>
    <t>W/I-Cu0</t>
  </si>
  <si>
    <r>
      <rPr>
        <sz val="12"/>
        <color rgb="FF000000"/>
        <rFont val="Times New Roman"/>
      </rPr>
      <t>502,3</t>
    </r>
    <r>
      <rPr>
        <sz val="10"/>
        <color rgb="FF000000"/>
        <rFont val="Times New Roman"/>
      </rPr>
      <t>±179</t>
    </r>
  </si>
  <si>
    <t>133,66±28</t>
  </si>
  <si>
    <r>
      <rPr>
        <sz val="12"/>
        <color rgb="FF000000"/>
        <rFont val="Times New Roman"/>
      </rPr>
      <t>671,2</t>
    </r>
    <r>
      <rPr>
        <sz val="10"/>
        <color rgb="FF000000"/>
        <rFont val="Times New Roman"/>
      </rPr>
      <t>±15,2</t>
    </r>
  </si>
  <si>
    <r>
      <rPr>
        <sz val="12"/>
        <color rgb="FF000000"/>
        <rFont val="Times New Roman"/>
      </rPr>
      <t>29</t>
    </r>
    <r>
      <rPr>
        <sz val="10"/>
        <color rgb="FF000000"/>
        <rFont val="Times New Roman"/>
      </rPr>
      <t>±9,4</t>
    </r>
  </si>
  <si>
    <t>16±2</t>
  </si>
  <si>
    <r>
      <rPr>
        <sz val="12"/>
        <color rgb="FF000000"/>
        <rFont val="Times New Roman"/>
      </rPr>
      <t>49,2</t>
    </r>
    <r>
      <rPr>
        <sz val="10"/>
        <color rgb="FF000000"/>
        <rFont val="Times New Roman"/>
      </rPr>
      <t>±2,8</t>
    </r>
  </si>
  <si>
    <t>405,3±254,5</t>
  </si>
  <si>
    <t>714±62,82</t>
  </si>
  <si>
    <t>650,9±8,3</t>
  </si>
  <si>
    <t>31,5±2,37</t>
  </si>
  <si>
    <t>19,3±1,6</t>
  </si>
  <si>
    <t>149,0±27,8</t>
  </si>
  <si>
    <r>
      <rPr>
        <sz val="12"/>
        <color rgb="FF000000"/>
        <rFont val="Times New Roman"/>
      </rPr>
      <t>553,8</t>
    </r>
    <r>
      <rPr>
        <sz val="10"/>
        <color rgb="FF000000"/>
        <rFont val="Times New Roman"/>
      </rPr>
      <t>±142,7</t>
    </r>
  </si>
  <si>
    <t>631,5±174,9</t>
  </si>
  <si>
    <r>
      <rPr>
        <sz val="12"/>
        <color rgb="FF000000"/>
        <rFont val="Times New Roman"/>
      </rPr>
      <t>664,7</t>
    </r>
    <r>
      <rPr>
        <sz val="10"/>
        <color rgb="FF000000"/>
        <rFont val="Times New Roman"/>
      </rPr>
      <t>±20,2</t>
    </r>
  </si>
  <si>
    <r>
      <rPr>
        <sz val="12"/>
        <color rgb="FF000000"/>
        <rFont val="Times New Roman"/>
      </rPr>
      <t>30,6</t>
    </r>
    <r>
      <rPr>
        <sz val="10"/>
        <color rgb="FF000000"/>
        <rFont val="Times New Roman"/>
      </rPr>
      <t>±4,6</t>
    </r>
  </si>
  <si>
    <t>12,25±1,9</t>
  </si>
  <si>
    <r>
      <rPr>
        <sz val="12"/>
        <color rgb="FF000000"/>
        <rFont val="Times New Roman"/>
      </rPr>
      <t>79,8</t>
    </r>
    <r>
      <rPr>
        <sz val="10"/>
        <color rgb="FF000000"/>
        <rFont val="Times New Roman"/>
      </rPr>
      <t>±18,2</t>
    </r>
  </si>
  <si>
    <t>tierra</t>
  </si>
  <si>
    <t>vas</t>
  </si>
  <si>
    <t>suelo</t>
  </si>
  <si>
    <t>i 0</t>
  </si>
  <si>
    <t>i 2</t>
  </si>
  <si>
    <t>baf vas</t>
  </si>
  <si>
    <t>baf root</t>
  </si>
  <si>
    <t>tf</t>
  </si>
  <si>
    <t xml:space="preserve">suelo </t>
  </si>
  <si>
    <t>VARIABLE A MEDIR: FOSFORO</t>
  </si>
  <si>
    <t>INOCULO*Cu</t>
  </si>
  <si>
    <t>[p] r</t>
  </si>
  <si>
    <t>suelo p</t>
  </si>
  <si>
    <t>Factores</t>
  </si>
  <si>
    <t>variable a medir</t>
  </si>
  <si>
    <t>concentración de P</t>
  </si>
  <si>
    <t xml:space="preserve">concentración de cu </t>
  </si>
  <si>
    <t>diseño factorial</t>
  </si>
  <si>
    <t>inoculo*cu</t>
  </si>
  <si>
    <t>id</t>
  </si>
  <si>
    <t>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</si>
</sst>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#,##0.00000"/>
    <numFmt numFmtId="167" formatCode="0.00000"/>
    <numFmt numFmtId="168" formatCode="#,##0.000"/>
  </numFmts>
  <fonts count="18" x14ac:knownFonts="1">
    <font>
      <sz val="11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Arial"/>
    </font>
    <font>
      <sz val="11"/>
      <name val="Arial"/>
    </font>
    <font>
      <sz val="12"/>
      <color rgb="FF222222"/>
      <name val="Times New Roman"/>
    </font>
    <font>
      <sz val="11"/>
      <color theme="1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Arial"/>
    </font>
    <font>
      <sz val="14"/>
      <color theme="1"/>
      <name val="Arial"/>
    </font>
    <font>
      <sz val="12"/>
      <color rgb="FF000000"/>
      <name val="Times New Roman"/>
    </font>
    <font>
      <sz val="11"/>
      <color rgb="FF000000"/>
      <name val="Times New Roman"/>
    </font>
    <font>
      <sz val="10"/>
      <color rgb="FF000000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vertAlign val="superscript"/>
      <sz val="6"/>
      <color rgb="FF000000"/>
      <name val="Times New Roman"/>
    </font>
  </fonts>
  <fills count="3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theme="9"/>
        <bgColor theme="9"/>
      </patternFill>
    </fill>
    <fill>
      <patternFill patternType="solid">
        <fgColor rgb="FFECECEC"/>
        <bgColor rgb="FFECECEC"/>
      </patternFill>
    </fill>
    <fill>
      <patternFill patternType="solid">
        <fgColor rgb="FFA8D08D"/>
        <bgColor rgb="FFA8D08D"/>
      </patternFill>
    </fill>
    <fill>
      <patternFill patternType="solid">
        <fgColor rgb="FFFEF2CB"/>
        <bgColor rgb="FFFEF2CB"/>
      </patternFill>
    </fill>
    <fill>
      <patternFill patternType="solid">
        <fgColor rgb="FF8EAADB"/>
        <bgColor rgb="FF8EAADB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9CB9C"/>
      </patternFill>
    </fill>
  </fills>
  <borders count="8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73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0" xfId="0" applyFont="1"/>
    <xf numFmtId="0" fontId="1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/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1" fillId="0" borderId="7" xfId="0" applyFont="1" applyBorder="1" applyAlignment="1">
      <alignment wrapText="1"/>
    </xf>
    <xf numFmtId="164" fontId="1" fillId="0" borderId="8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164" fontId="1" fillId="0" borderId="4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2" fontId="4" fillId="2" borderId="0" xfId="0" applyNumberFormat="1" applyFont="1" applyFill="1"/>
    <xf numFmtId="0" fontId="5" fillId="2" borderId="0" xfId="0" applyFont="1" applyFill="1"/>
    <xf numFmtId="0" fontId="6" fillId="0" borderId="7" xfId="0" applyFont="1" applyBorder="1" applyAlignment="1">
      <alignment wrapText="1"/>
    </xf>
    <xf numFmtId="164" fontId="1" fillId="0" borderId="5" xfId="0" applyNumberFormat="1" applyFont="1" applyBorder="1" applyAlignment="1">
      <alignment horizontal="right" wrapText="1"/>
    </xf>
    <xf numFmtId="2" fontId="1" fillId="0" borderId="8" xfId="0" applyNumberFormat="1" applyFont="1" applyBorder="1" applyAlignment="1">
      <alignment horizontal="right" wrapText="1"/>
    </xf>
    <xf numFmtId="2" fontId="1" fillId="0" borderId="1" xfId="0" applyNumberFormat="1" applyFont="1" applyBorder="1" applyAlignment="1">
      <alignment horizontal="right" wrapText="1"/>
    </xf>
    <xf numFmtId="2" fontId="1" fillId="0" borderId="4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2" fontId="1" fillId="0" borderId="5" xfId="0" applyNumberFormat="1" applyFont="1" applyBorder="1" applyAlignment="1">
      <alignment horizontal="right" wrapText="1"/>
    </xf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2" fontId="1" fillId="0" borderId="15" xfId="0" applyNumberFormat="1" applyFont="1" applyBorder="1" applyAlignment="1">
      <alignment horizontal="right" wrapText="1"/>
    </xf>
    <xf numFmtId="2" fontId="7" fillId="0" borderId="15" xfId="0" applyNumberFormat="1" applyFont="1" applyBorder="1"/>
    <xf numFmtId="2" fontId="7" fillId="0" borderId="0" xfId="0" applyNumberFormat="1" applyFont="1"/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7" fillId="0" borderId="16" xfId="0" applyFont="1" applyBorder="1"/>
    <xf numFmtId="2" fontId="1" fillId="0" borderId="16" xfId="0" applyNumberFormat="1" applyFont="1" applyBorder="1" applyAlignment="1">
      <alignment horizontal="right" wrapText="1"/>
    </xf>
    <xf numFmtId="2" fontId="7" fillId="0" borderId="16" xfId="0" applyNumberFormat="1" applyFont="1" applyBorder="1"/>
    <xf numFmtId="0" fontId="1" fillId="0" borderId="17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2" fontId="1" fillId="0" borderId="16" xfId="0" applyNumberFormat="1" applyFont="1" applyBorder="1" applyAlignment="1">
      <alignment wrapText="1"/>
    </xf>
    <xf numFmtId="0" fontId="7" fillId="3" borderId="18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17" xfId="0" applyFont="1" applyBorder="1" applyAlignment="1">
      <alignment wrapText="1"/>
    </xf>
    <xf numFmtId="0" fontId="3" fillId="0" borderId="8" xfId="0" applyFont="1" applyBorder="1" applyAlignment="1">
      <alignment horizontal="right" wrapText="1"/>
    </xf>
    <xf numFmtId="0" fontId="7" fillId="4" borderId="8" xfId="0" applyFont="1" applyFill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1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7" fillId="4" borderId="1" xfId="0" applyFont="1" applyFill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0" fontId="8" fillId="0" borderId="13" xfId="0" applyFont="1" applyBorder="1" applyAlignment="1">
      <alignment horizontal="center"/>
    </xf>
    <xf numFmtId="2" fontId="8" fillId="0" borderId="13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" wrapText="1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5" borderId="20" xfId="0" applyFont="1" applyFill="1" applyBorder="1" applyAlignment="1">
      <alignment horizontal="center"/>
    </xf>
    <xf numFmtId="2" fontId="3" fillId="5" borderId="20" xfId="0" applyNumberFormat="1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 wrapText="1"/>
    </xf>
    <xf numFmtId="0" fontId="3" fillId="5" borderId="20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16" xfId="0" applyFont="1" applyFill="1" applyBorder="1" applyAlignment="1">
      <alignment horizontal="center"/>
    </xf>
    <xf numFmtId="2" fontId="3" fillId="5" borderId="16" xfId="0" applyNumberFormat="1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2" fontId="3" fillId="6" borderId="16" xfId="0" applyNumberFormat="1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 wrapText="1"/>
    </xf>
    <xf numFmtId="0" fontId="3" fillId="6" borderId="16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3" fillId="7" borderId="16" xfId="0" applyFont="1" applyFill="1" applyBorder="1" applyAlignment="1">
      <alignment horizontal="center"/>
    </xf>
    <xf numFmtId="2" fontId="3" fillId="7" borderId="16" xfId="0" applyNumberFormat="1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 wrapText="1"/>
    </xf>
    <xf numFmtId="0" fontId="3" fillId="7" borderId="16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2" fontId="3" fillId="7" borderId="23" xfId="0" applyNumberFormat="1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 wrapText="1"/>
    </xf>
    <xf numFmtId="0" fontId="3" fillId="7" borderId="23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3" fillId="8" borderId="25" xfId="0" applyFont="1" applyFill="1" applyBorder="1" applyAlignment="1">
      <alignment horizontal="center"/>
    </xf>
    <xf numFmtId="0" fontId="3" fillId="8" borderId="20" xfId="0" applyFont="1" applyFill="1" applyBorder="1" applyAlignment="1">
      <alignment horizontal="center"/>
    </xf>
    <xf numFmtId="2" fontId="3" fillId="8" borderId="20" xfId="0" applyNumberFormat="1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/>
    </xf>
    <xf numFmtId="0" fontId="3" fillId="8" borderId="20" xfId="0" applyFont="1" applyFill="1" applyBorder="1" applyAlignment="1">
      <alignment horizontal="center" wrapText="1"/>
    </xf>
    <xf numFmtId="0" fontId="3" fillId="8" borderId="20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2" fontId="3" fillId="8" borderId="16" xfId="0" applyNumberFormat="1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 wrapText="1"/>
    </xf>
    <xf numFmtId="0" fontId="3" fillId="8" borderId="16" xfId="0" applyFont="1" applyFill="1" applyBorder="1" applyAlignment="1">
      <alignment horizontal="center"/>
    </xf>
    <xf numFmtId="0" fontId="2" fillId="8" borderId="22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3" fillId="9" borderId="26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2" fontId="3" fillId="9" borderId="16" xfId="0" applyNumberFormat="1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 wrapText="1"/>
    </xf>
    <xf numFmtId="0" fontId="3" fillId="9" borderId="16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2" fontId="7" fillId="9" borderId="16" xfId="0" applyNumberFormat="1" applyFont="1" applyFill="1" applyBorder="1" applyAlignment="1">
      <alignment horizontal="center"/>
    </xf>
    <xf numFmtId="0" fontId="3" fillId="10" borderId="26" xfId="0" applyFont="1" applyFill="1" applyBorder="1" applyAlignment="1">
      <alignment horizontal="center"/>
    </xf>
    <xf numFmtId="0" fontId="3" fillId="10" borderId="16" xfId="0" applyFont="1" applyFill="1" applyBorder="1" applyAlignment="1">
      <alignment horizontal="center"/>
    </xf>
    <xf numFmtId="2" fontId="3" fillId="10" borderId="16" xfId="0" applyNumberFormat="1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3" fillId="10" borderId="16" xfId="0" applyFont="1" applyFill="1" applyBorder="1" applyAlignment="1">
      <alignment horizontal="center" wrapText="1"/>
    </xf>
    <xf numFmtId="0" fontId="3" fillId="10" borderId="16" xfId="0" applyFont="1" applyFill="1" applyBorder="1" applyAlignment="1">
      <alignment horizontal="center"/>
    </xf>
    <xf numFmtId="0" fontId="2" fillId="10" borderId="22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3" fillId="10" borderId="27" xfId="0" applyFont="1" applyFill="1" applyBorder="1" applyAlignment="1">
      <alignment horizontal="center"/>
    </xf>
    <xf numFmtId="0" fontId="3" fillId="10" borderId="28" xfId="0" applyFont="1" applyFill="1" applyBorder="1" applyAlignment="1">
      <alignment horizontal="center"/>
    </xf>
    <xf numFmtId="2" fontId="3" fillId="10" borderId="28" xfId="0" applyNumberFormat="1" applyFont="1" applyFill="1" applyBorder="1" applyAlignment="1">
      <alignment horizontal="center"/>
    </xf>
    <xf numFmtId="0" fontId="2" fillId="10" borderId="23" xfId="0" applyFont="1" applyFill="1" applyBorder="1" applyAlignment="1">
      <alignment horizontal="center"/>
    </xf>
    <xf numFmtId="0" fontId="2" fillId="10" borderId="28" xfId="0" applyFont="1" applyFill="1" applyBorder="1" applyAlignment="1">
      <alignment horizontal="center"/>
    </xf>
    <xf numFmtId="0" fontId="3" fillId="10" borderId="28" xfId="0" applyFont="1" applyFill="1" applyBorder="1" applyAlignment="1">
      <alignment horizontal="center" wrapText="1"/>
    </xf>
    <xf numFmtId="0" fontId="3" fillId="10" borderId="28" xfId="0" applyFont="1" applyFill="1" applyBorder="1" applyAlignment="1">
      <alignment horizontal="center"/>
    </xf>
    <xf numFmtId="0" fontId="2" fillId="10" borderId="29" xfId="0" applyFont="1" applyFill="1" applyBorder="1" applyAlignment="1">
      <alignment horizontal="center"/>
    </xf>
    <xf numFmtId="0" fontId="3" fillId="11" borderId="25" xfId="0" applyFont="1" applyFill="1" applyBorder="1" applyAlignment="1">
      <alignment horizontal="center"/>
    </xf>
    <xf numFmtId="0" fontId="3" fillId="11" borderId="20" xfId="0" applyFont="1" applyFill="1" applyBorder="1" applyAlignment="1">
      <alignment horizontal="center"/>
    </xf>
    <xf numFmtId="2" fontId="3" fillId="11" borderId="20" xfId="0" applyNumberFormat="1" applyFont="1" applyFill="1" applyBorder="1" applyAlignment="1">
      <alignment horizontal="center"/>
    </xf>
    <xf numFmtId="2" fontId="3" fillId="11" borderId="30" xfId="0" applyNumberFormat="1" applyFont="1" applyFill="1" applyBorder="1" applyAlignment="1">
      <alignment horizontal="center"/>
    </xf>
    <xf numFmtId="0" fontId="3" fillId="11" borderId="31" xfId="0" applyFont="1" applyFill="1" applyBorder="1" applyAlignment="1">
      <alignment horizontal="center"/>
    </xf>
    <xf numFmtId="2" fontId="3" fillId="11" borderId="20" xfId="0" applyNumberFormat="1" applyFont="1" applyFill="1" applyBorder="1" applyAlignment="1">
      <alignment horizontal="center"/>
    </xf>
    <xf numFmtId="2" fontId="3" fillId="11" borderId="20" xfId="0" applyNumberFormat="1" applyFont="1" applyFill="1" applyBorder="1" applyAlignment="1">
      <alignment horizontal="center" wrapText="1"/>
    </xf>
    <xf numFmtId="2" fontId="1" fillId="11" borderId="21" xfId="0" applyNumberFormat="1" applyFont="1" applyFill="1" applyBorder="1" applyAlignment="1">
      <alignment horizontal="center" wrapText="1"/>
    </xf>
    <xf numFmtId="0" fontId="2" fillId="11" borderId="0" xfId="0" applyFont="1" applyFill="1" applyAlignment="1">
      <alignment horizontal="center"/>
    </xf>
    <xf numFmtId="0" fontId="3" fillId="11" borderId="26" xfId="0" applyFont="1" applyFill="1" applyBorder="1" applyAlignment="1">
      <alignment horizontal="center"/>
    </xf>
    <xf numFmtId="0" fontId="3" fillId="11" borderId="16" xfId="0" applyFont="1" applyFill="1" applyBorder="1" applyAlignment="1">
      <alignment horizontal="center"/>
    </xf>
    <xf numFmtId="2" fontId="3" fillId="11" borderId="16" xfId="0" applyNumberFormat="1" applyFont="1" applyFill="1" applyBorder="1" applyAlignment="1">
      <alignment horizontal="center"/>
    </xf>
    <xf numFmtId="2" fontId="3" fillId="11" borderId="32" xfId="0" applyNumberFormat="1" applyFont="1" applyFill="1" applyBorder="1" applyAlignment="1">
      <alignment horizontal="center" wrapText="1"/>
    </xf>
    <xf numFmtId="0" fontId="3" fillId="11" borderId="33" xfId="0" applyFont="1" applyFill="1" applyBorder="1" applyAlignment="1">
      <alignment horizontal="center"/>
    </xf>
    <xf numFmtId="2" fontId="3" fillId="11" borderId="16" xfId="0" applyNumberFormat="1" applyFont="1" applyFill="1" applyBorder="1" applyAlignment="1">
      <alignment horizontal="center"/>
    </xf>
    <xf numFmtId="2" fontId="3" fillId="11" borderId="16" xfId="0" applyNumberFormat="1" applyFont="1" applyFill="1" applyBorder="1" applyAlignment="1">
      <alignment horizontal="center" wrapText="1"/>
    </xf>
    <xf numFmtId="2" fontId="1" fillId="11" borderId="16" xfId="0" applyNumberFormat="1" applyFont="1" applyFill="1" applyBorder="1" applyAlignment="1">
      <alignment horizontal="center" wrapText="1"/>
    </xf>
    <xf numFmtId="2" fontId="1" fillId="11" borderId="22" xfId="0" applyNumberFormat="1" applyFont="1" applyFill="1" applyBorder="1" applyAlignment="1">
      <alignment horizontal="center" wrapText="1"/>
    </xf>
    <xf numFmtId="2" fontId="3" fillId="11" borderId="16" xfId="0" applyNumberFormat="1" applyFont="1" applyFill="1" applyBorder="1" applyAlignment="1">
      <alignment horizontal="center"/>
    </xf>
    <xf numFmtId="2" fontId="2" fillId="11" borderId="16" xfId="0" applyNumberFormat="1" applyFont="1" applyFill="1" applyBorder="1" applyAlignment="1">
      <alignment horizontal="center"/>
    </xf>
    <xf numFmtId="0" fontId="3" fillId="12" borderId="26" xfId="0" applyFont="1" applyFill="1" applyBorder="1" applyAlignment="1">
      <alignment horizontal="center"/>
    </xf>
    <xf numFmtId="0" fontId="3" fillId="12" borderId="16" xfId="0" applyFont="1" applyFill="1" applyBorder="1" applyAlignment="1">
      <alignment horizontal="center"/>
    </xf>
    <xf numFmtId="2" fontId="3" fillId="12" borderId="16" xfId="0" applyNumberFormat="1" applyFont="1" applyFill="1" applyBorder="1" applyAlignment="1">
      <alignment horizontal="center"/>
    </xf>
    <xf numFmtId="2" fontId="3" fillId="12" borderId="32" xfId="0" applyNumberFormat="1" applyFont="1" applyFill="1" applyBorder="1" applyAlignment="1">
      <alignment horizontal="center"/>
    </xf>
    <xf numFmtId="0" fontId="3" fillId="12" borderId="33" xfId="0" applyFont="1" applyFill="1" applyBorder="1" applyAlignment="1">
      <alignment horizontal="center"/>
    </xf>
    <xf numFmtId="0" fontId="3" fillId="12" borderId="22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2" fontId="3" fillId="12" borderId="32" xfId="0" applyNumberFormat="1" applyFont="1" applyFill="1" applyBorder="1" applyAlignment="1">
      <alignment horizontal="center" wrapText="1"/>
    </xf>
    <xf numFmtId="0" fontId="3" fillId="13" borderId="26" xfId="0" applyFont="1" applyFill="1" applyBorder="1" applyAlignment="1">
      <alignment horizontal="center"/>
    </xf>
    <xf numFmtId="0" fontId="3" fillId="13" borderId="16" xfId="0" applyFont="1" applyFill="1" applyBorder="1" applyAlignment="1">
      <alignment horizontal="center"/>
    </xf>
    <xf numFmtId="2" fontId="3" fillId="13" borderId="16" xfId="0" applyNumberFormat="1" applyFont="1" applyFill="1" applyBorder="1" applyAlignment="1">
      <alignment horizontal="center"/>
    </xf>
    <xf numFmtId="2" fontId="3" fillId="13" borderId="32" xfId="0" applyNumberFormat="1" applyFont="1" applyFill="1" applyBorder="1" applyAlignment="1">
      <alignment horizontal="center"/>
    </xf>
    <xf numFmtId="0" fontId="3" fillId="13" borderId="33" xfId="0" applyFont="1" applyFill="1" applyBorder="1" applyAlignment="1">
      <alignment horizontal="center"/>
    </xf>
    <xf numFmtId="2" fontId="3" fillId="13" borderId="16" xfId="0" applyNumberFormat="1" applyFont="1" applyFill="1" applyBorder="1" applyAlignment="1">
      <alignment horizontal="center"/>
    </xf>
    <xf numFmtId="2" fontId="3" fillId="13" borderId="16" xfId="0" applyNumberFormat="1" applyFont="1" applyFill="1" applyBorder="1" applyAlignment="1">
      <alignment horizontal="center" wrapText="1"/>
    </xf>
    <xf numFmtId="2" fontId="1" fillId="13" borderId="16" xfId="0" applyNumberFormat="1" applyFont="1" applyFill="1" applyBorder="1" applyAlignment="1">
      <alignment horizontal="center" wrapText="1"/>
    </xf>
    <xf numFmtId="2" fontId="1" fillId="13" borderId="22" xfId="0" applyNumberFormat="1" applyFont="1" applyFill="1" applyBorder="1" applyAlignment="1">
      <alignment horizontal="center" wrapText="1"/>
    </xf>
    <xf numFmtId="0" fontId="2" fillId="13" borderId="0" xfId="0" applyFont="1" applyFill="1" applyAlignment="1">
      <alignment horizontal="center"/>
    </xf>
    <xf numFmtId="2" fontId="3" fillId="13" borderId="32" xfId="0" applyNumberFormat="1" applyFont="1" applyFill="1" applyBorder="1" applyAlignment="1">
      <alignment horizontal="center" wrapText="1"/>
    </xf>
    <xf numFmtId="0" fontId="3" fillId="13" borderId="27" xfId="0" applyFont="1" applyFill="1" applyBorder="1" applyAlignment="1">
      <alignment horizontal="center"/>
    </xf>
    <xf numFmtId="0" fontId="3" fillId="13" borderId="28" xfId="0" applyFont="1" applyFill="1" applyBorder="1" applyAlignment="1">
      <alignment horizontal="center"/>
    </xf>
    <xf numFmtId="2" fontId="3" fillId="13" borderId="28" xfId="0" applyNumberFormat="1" applyFont="1" applyFill="1" applyBorder="1" applyAlignment="1">
      <alignment horizontal="center"/>
    </xf>
    <xf numFmtId="2" fontId="3" fillId="13" borderId="34" xfId="0" applyNumberFormat="1" applyFont="1" applyFill="1" applyBorder="1" applyAlignment="1">
      <alignment horizontal="center" wrapText="1"/>
    </xf>
    <xf numFmtId="0" fontId="3" fillId="13" borderId="23" xfId="0" applyFont="1" applyFill="1" applyBorder="1" applyAlignment="1">
      <alignment horizontal="center"/>
    </xf>
    <xf numFmtId="0" fontId="3" fillId="13" borderId="35" xfId="0" applyFont="1" applyFill="1" applyBorder="1" applyAlignment="1">
      <alignment horizontal="center"/>
    </xf>
    <xf numFmtId="2" fontId="3" fillId="13" borderId="28" xfId="0" applyNumberFormat="1" applyFont="1" applyFill="1" applyBorder="1" applyAlignment="1">
      <alignment horizontal="center"/>
    </xf>
    <xf numFmtId="2" fontId="3" fillId="13" borderId="28" xfId="0" applyNumberFormat="1" applyFont="1" applyFill="1" applyBorder="1" applyAlignment="1">
      <alignment horizontal="center" wrapText="1"/>
    </xf>
    <xf numFmtId="2" fontId="1" fillId="13" borderId="28" xfId="0" applyNumberFormat="1" applyFont="1" applyFill="1" applyBorder="1" applyAlignment="1">
      <alignment horizontal="center" wrapText="1"/>
    </xf>
    <xf numFmtId="2" fontId="1" fillId="13" borderId="29" xfId="0" applyNumberFormat="1" applyFont="1" applyFill="1" applyBorder="1" applyAlignment="1">
      <alignment horizontal="center" wrapText="1"/>
    </xf>
    <xf numFmtId="0" fontId="3" fillId="14" borderId="25" xfId="0" applyFont="1" applyFill="1" applyBorder="1" applyAlignment="1">
      <alignment horizontal="center"/>
    </xf>
    <xf numFmtId="0" fontId="3" fillId="14" borderId="20" xfId="0" applyFont="1" applyFill="1" applyBorder="1" applyAlignment="1">
      <alignment horizontal="center"/>
    </xf>
    <xf numFmtId="2" fontId="3" fillId="14" borderId="20" xfId="0" applyNumberFormat="1" applyFont="1" applyFill="1" applyBorder="1" applyAlignment="1">
      <alignment horizontal="center"/>
    </xf>
    <xf numFmtId="2" fontId="3" fillId="14" borderId="30" xfId="0" applyNumberFormat="1" applyFont="1" applyFill="1" applyBorder="1" applyAlignment="1">
      <alignment horizontal="center"/>
    </xf>
    <xf numFmtId="2" fontId="3" fillId="14" borderId="20" xfId="0" applyNumberFormat="1" applyFont="1" applyFill="1" applyBorder="1" applyAlignment="1">
      <alignment horizontal="center"/>
    </xf>
    <xf numFmtId="2" fontId="3" fillId="14" borderId="31" xfId="0" applyNumberFormat="1" applyFont="1" applyFill="1" applyBorder="1" applyAlignment="1">
      <alignment horizontal="center"/>
    </xf>
    <xf numFmtId="2" fontId="3" fillId="14" borderId="20" xfId="0" applyNumberFormat="1" applyFont="1" applyFill="1" applyBorder="1" applyAlignment="1">
      <alignment horizontal="center"/>
    </xf>
    <xf numFmtId="2" fontId="3" fillId="14" borderId="20" xfId="0" applyNumberFormat="1" applyFont="1" applyFill="1" applyBorder="1" applyAlignment="1">
      <alignment horizontal="center" wrapText="1"/>
    </xf>
    <xf numFmtId="2" fontId="1" fillId="14" borderId="20" xfId="0" applyNumberFormat="1" applyFont="1" applyFill="1" applyBorder="1" applyAlignment="1">
      <alignment horizontal="center" wrapText="1"/>
    </xf>
    <xf numFmtId="2" fontId="1" fillId="14" borderId="21" xfId="0" applyNumberFormat="1" applyFont="1" applyFill="1" applyBorder="1" applyAlignment="1">
      <alignment horizontal="center" wrapText="1"/>
    </xf>
    <xf numFmtId="0" fontId="2" fillId="14" borderId="0" xfId="0" applyFont="1" applyFill="1" applyAlignment="1">
      <alignment horizontal="center"/>
    </xf>
    <xf numFmtId="0" fontId="3" fillId="14" borderId="26" xfId="0" applyFont="1" applyFill="1" applyBorder="1" applyAlignment="1">
      <alignment horizontal="center"/>
    </xf>
    <xf numFmtId="0" fontId="3" fillId="14" borderId="16" xfId="0" applyFont="1" applyFill="1" applyBorder="1" applyAlignment="1">
      <alignment horizontal="center"/>
    </xf>
    <xf numFmtId="2" fontId="3" fillId="14" borderId="16" xfId="0" applyNumberFormat="1" applyFont="1" applyFill="1" applyBorder="1" applyAlignment="1">
      <alignment horizontal="center"/>
    </xf>
    <xf numFmtId="2" fontId="3" fillId="14" borderId="16" xfId="0" applyNumberFormat="1" applyFont="1" applyFill="1" applyBorder="1" applyAlignment="1">
      <alignment horizontal="center" wrapText="1"/>
    </xf>
    <xf numFmtId="2" fontId="3" fillId="14" borderId="32" xfId="0" applyNumberFormat="1" applyFont="1" applyFill="1" applyBorder="1" applyAlignment="1">
      <alignment horizontal="center" wrapText="1"/>
    </xf>
    <xf numFmtId="2" fontId="3" fillId="14" borderId="16" xfId="0" applyNumberFormat="1" applyFont="1" applyFill="1" applyBorder="1" applyAlignment="1">
      <alignment horizontal="center" wrapText="1"/>
    </xf>
    <xf numFmtId="2" fontId="3" fillId="14" borderId="33" xfId="0" applyNumberFormat="1" applyFont="1" applyFill="1" applyBorder="1" applyAlignment="1">
      <alignment horizontal="center" wrapText="1"/>
    </xf>
    <xf numFmtId="2" fontId="3" fillId="14" borderId="16" xfId="0" applyNumberFormat="1" applyFont="1" applyFill="1" applyBorder="1" applyAlignment="1">
      <alignment horizontal="center"/>
    </xf>
    <xf numFmtId="2" fontId="3" fillId="14" borderId="16" xfId="0" applyNumberFormat="1" applyFont="1" applyFill="1" applyBorder="1" applyAlignment="1">
      <alignment horizontal="center" wrapText="1"/>
    </xf>
    <xf numFmtId="2" fontId="1" fillId="14" borderId="16" xfId="0" applyNumberFormat="1" applyFont="1" applyFill="1" applyBorder="1" applyAlignment="1">
      <alignment horizontal="center" wrapText="1"/>
    </xf>
    <xf numFmtId="2" fontId="1" fillId="14" borderId="22" xfId="0" applyNumberFormat="1" applyFont="1" applyFill="1" applyBorder="1" applyAlignment="1">
      <alignment horizontal="center" wrapText="1"/>
    </xf>
    <xf numFmtId="2" fontId="3" fillId="14" borderId="16" xfId="0" applyNumberFormat="1" applyFont="1" applyFill="1" applyBorder="1" applyAlignment="1">
      <alignment horizontal="center"/>
    </xf>
    <xf numFmtId="2" fontId="2" fillId="14" borderId="16" xfId="0" applyNumberFormat="1" applyFont="1" applyFill="1" applyBorder="1" applyAlignment="1">
      <alignment horizontal="center"/>
    </xf>
    <xf numFmtId="2" fontId="2" fillId="14" borderId="22" xfId="0" applyNumberFormat="1" applyFont="1" applyFill="1" applyBorder="1" applyAlignment="1">
      <alignment horizontal="center"/>
    </xf>
    <xf numFmtId="0" fontId="3" fillId="15" borderId="26" xfId="0" applyFont="1" applyFill="1" applyBorder="1" applyAlignment="1">
      <alignment horizontal="center"/>
    </xf>
    <xf numFmtId="0" fontId="3" fillId="15" borderId="16" xfId="0" applyFont="1" applyFill="1" applyBorder="1" applyAlignment="1">
      <alignment horizontal="center"/>
    </xf>
    <xf numFmtId="2" fontId="3" fillId="15" borderId="16" xfId="0" applyNumberFormat="1" applyFont="1" applyFill="1" applyBorder="1" applyAlignment="1">
      <alignment horizontal="center"/>
    </xf>
    <xf numFmtId="2" fontId="3" fillId="15" borderId="32" xfId="0" applyNumberFormat="1" applyFont="1" applyFill="1" applyBorder="1" applyAlignment="1">
      <alignment horizontal="center"/>
    </xf>
    <xf numFmtId="2" fontId="3" fillId="15" borderId="33" xfId="0" applyNumberFormat="1" applyFont="1" applyFill="1" applyBorder="1" applyAlignment="1">
      <alignment horizontal="center"/>
    </xf>
    <xf numFmtId="2" fontId="3" fillId="15" borderId="16" xfId="0" applyNumberFormat="1" applyFont="1" applyFill="1" applyBorder="1" applyAlignment="1">
      <alignment horizontal="center"/>
    </xf>
    <xf numFmtId="2" fontId="3" fillId="15" borderId="22" xfId="0" applyNumberFormat="1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2" fontId="3" fillId="15" borderId="16" xfId="0" applyNumberFormat="1" applyFont="1" applyFill="1" applyBorder="1" applyAlignment="1">
      <alignment horizontal="center" wrapText="1"/>
    </xf>
    <xf numFmtId="2" fontId="3" fillId="15" borderId="32" xfId="0" applyNumberFormat="1" applyFont="1" applyFill="1" applyBorder="1" applyAlignment="1">
      <alignment horizontal="center" wrapText="1"/>
    </xf>
    <xf numFmtId="2" fontId="3" fillId="15" borderId="33" xfId="0" applyNumberFormat="1" applyFont="1" applyFill="1" applyBorder="1" applyAlignment="1">
      <alignment horizontal="center" wrapText="1"/>
    </xf>
    <xf numFmtId="0" fontId="3" fillId="16" borderId="26" xfId="0" applyFont="1" applyFill="1" applyBorder="1" applyAlignment="1">
      <alignment horizontal="center"/>
    </xf>
    <xf numFmtId="0" fontId="3" fillId="16" borderId="16" xfId="0" applyFont="1" applyFill="1" applyBorder="1" applyAlignment="1">
      <alignment horizontal="center"/>
    </xf>
    <xf numFmtId="2" fontId="3" fillId="16" borderId="16" xfId="0" applyNumberFormat="1" applyFont="1" applyFill="1" applyBorder="1" applyAlignment="1">
      <alignment horizontal="center"/>
    </xf>
    <xf numFmtId="2" fontId="3" fillId="16" borderId="32" xfId="0" applyNumberFormat="1" applyFont="1" applyFill="1" applyBorder="1" applyAlignment="1">
      <alignment horizontal="center"/>
    </xf>
    <xf numFmtId="0" fontId="3" fillId="16" borderId="15" xfId="0" applyFont="1" applyFill="1" applyBorder="1" applyAlignment="1">
      <alignment horizontal="center"/>
    </xf>
    <xf numFmtId="2" fontId="3" fillId="16" borderId="33" xfId="0" applyNumberFormat="1" applyFont="1" applyFill="1" applyBorder="1" applyAlignment="1">
      <alignment horizontal="center"/>
    </xf>
    <xf numFmtId="2" fontId="3" fillId="16" borderId="16" xfId="0" applyNumberFormat="1" applyFont="1" applyFill="1" applyBorder="1" applyAlignment="1">
      <alignment horizontal="center"/>
    </xf>
    <xf numFmtId="2" fontId="3" fillId="16" borderId="16" xfId="0" applyNumberFormat="1" applyFont="1" applyFill="1" applyBorder="1" applyAlignment="1">
      <alignment horizontal="center" wrapText="1"/>
    </xf>
    <xf numFmtId="2" fontId="1" fillId="16" borderId="16" xfId="0" applyNumberFormat="1" applyFont="1" applyFill="1" applyBorder="1" applyAlignment="1">
      <alignment horizontal="center" wrapText="1"/>
    </xf>
    <xf numFmtId="2" fontId="1" fillId="16" borderId="22" xfId="0" applyNumberFormat="1" applyFont="1" applyFill="1" applyBorder="1" applyAlignment="1">
      <alignment horizontal="center" wrapText="1"/>
    </xf>
    <xf numFmtId="0" fontId="2" fillId="16" borderId="0" xfId="0" applyFont="1" applyFill="1" applyAlignment="1">
      <alignment horizontal="center"/>
    </xf>
    <xf numFmtId="2" fontId="3" fillId="16" borderId="16" xfId="0" applyNumberFormat="1" applyFont="1" applyFill="1" applyBorder="1" applyAlignment="1">
      <alignment horizontal="center" wrapText="1"/>
    </xf>
    <xf numFmtId="2" fontId="3" fillId="16" borderId="32" xfId="0" applyNumberFormat="1" applyFont="1" applyFill="1" applyBorder="1" applyAlignment="1">
      <alignment horizontal="center" wrapText="1"/>
    </xf>
    <xf numFmtId="2" fontId="3" fillId="16" borderId="33" xfId="0" applyNumberFormat="1" applyFont="1" applyFill="1" applyBorder="1" applyAlignment="1">
      <alignment horizontal="center" wrapText="1"/>
    </xf>
    <xf numFmtId="0" fontId="3" fillId="16" borderId="27" xfId="0" applyFont="1" applyFill="1" applyBorder="1" applyAlignment="1">
      <alignment horizontal="center"/>
    </xf>
    <xf numFmtId="0" fontId="3" fillId="16" borderId="28" xfId="0" applyFont="1" applyFill="1" applyBorder="1" applyAlignment="1">
      <alignment horizontal="center"/>
    </xf>
    <xf numFmtId="2" fontId="3" fillId="16" borderId="28" xfId="0" applyNumberFormat="1" applyFont="1" applyFill="1" applyBorder="1" applyAlignment="1">
      <alignment horizontal="center"/>
    </xf>
    <xf numFmtId="2" fontId="3" fillId="16" borderId="28" xfId="0" applyNumberFormat="1" applyFont="1" applyFill="1" applyBorder="1" applyAlignment="1">
      <alignment horizontal="center"/>
    </xf>
    <xf numFmtId="2" fontId="3" fillId="16" borderId="34" xfId="0" applyNumberFormat="1" applyFont="1" applyFill="1" applyBorder="1" applyAlignment="1">
      <alignment horizontal="center" wrapText="1"/>
    </xf>
    <xf numFmtId="2" fontId="3" fillId="16" borderId="35" xfId="0" applyNumberFormat="1" applyFont="1" applyFill="1" applyBorder="1" applyAlignment="1">
      <alignment horizontal="center" wrapText="1"/>
    </xf>
    <xf numFmtId="0" fontId="3" fillId="16" borderId="28" xfId="0" applyFont="1" applyFill="1" applyBorder="1" applyAlignment="1">
      <alignment horizontal="center"/>
    </xf>
    <xf numFmtId="0" fontId="2" fillId="16" borderId="28" xfId="0" applyFont="1" applyFill="1" applyBorder="1" applyAlignment="1">
      <alignment horizontal="center"/>
    </xf>
    <xf numFmtId="0" fontId="2" fillId="16" borderId="2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17" borderId="0" xfId="0" applyFont="1" applyFill="1" applyAlignment="1">
      <alignment horizontal="center"/>
    </xf>
    <xf numFmtId="2" fontId="8" fillId="0" borderId="36" xfId="0" applyNumberFormat="1" applyFont="1" applyBorder="1" applyAlignment="1">
      <alignment horizontal="center"/>
    </xf>
    <xf numFmtId="2" fontId="8" fillId="0" borderId="37" xfId="0" applyNumberFormat="1" applyFont="1" applyBorder="1" applyAlignment="1">
      <alignment horizontal="center"/>
    </xf>
    <xf numFmtId="2" fontId="8" fillId="0" borderId="37" xfId="0" applyNumberFormat="1" applyFont="1" applyBorder="1" applyAlignment="1">
      <alignment horizontal="center"/>
    </xf>
    <xf numFmtId="2" fontId="8" fillId="0" borderId="37" xfId="0" applyNumberFormat="1" applyFont="1" applyBorder="1" applyAlignment="1">
      <alignment horizontal="center"/>
    </xf>
    <xf numFmtId="2" fontId="8" fillId="0" borderId="37" xfId="0" applyNumberFormat="1" applyFont="1" applyBorder="1" applyAlignment="1">
      <alignment horizontal="center" wrapText="1"/>
    </xf>
    <xf numFmtId="2" fontId="9" fillId="0" borderId="37" xfId="0" applyNumberFormat="1" applyFont="1" applyBorder="1" applyAlignment="1">
      <alignment horizontal="center"/>
    </xf>
    <xf numFmtId="2" fontId="9" fillId="0" borderId="38" xfId="0" applyNumberFormat="1" applyFont="1" applyBorder="1" applyAlignment="1">
      <alignment horizontal="center"/>
    </xf>
    <xf numFmtId="2" fontId="2" fillId="0" borderId="26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165" fontId="2" fillId="0" borderId="16" xfId="0" applyNumberFormat="1" applyFont="1" applyBorder="1" applyAlignment="1">
      <alignment horizontal="center"/>
    </xf>
    <xf numFmtId="2" fontId="2" fillId="0" borderId="2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8" fillId="0" borderId="12" xfId="0" applyNumberFormat="1" applyFont="1" applyBorder="1" applyAlignment="1">
      <alignment horizontal="center"/>
    </xf>
    <xf numFmtId="2" fontId="8" fillId="0" borderId="13" xfId="0" applyNumberFormat="1" applyFont="1" applyBorder="1" applyAlignment="1">
      <alignment horizontal="center"/>
    </xf>
    <xf numFmtId="2" fontId="8" fillId="0" borderId="13" xfId="0" applyNumberFormat="1" applyFont="1" applyBorder="1" applyAlignment="1">
      <alignment horizontal="center"/>
    </xf>
    <xf numFmtId="2" fontId="9" fillId="0" borderId="13" xfId="0" applyNumberFormat="1" applyFont="1" applyBorder="1" applyAlignment="1">
      <alignment horizontal="center"/>
    </xf>
    <xf numFmtId="2" fontId="9" fillId="0" borderId="14" xfId="0" applyNumberFormat="1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2" fontId="2" fillId="0" borderId="31" xfId="0" applyNumberFormat="1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2" fontId="2" fillId="0" borderId="35" xfId="0" applyNumberFormat="1" applyFont="1" applyBorder="1" applyAlignment="1">
      <alignment horizontal="center"/>
    </xf>
    <xf numFmtId="2" fontId="2" fillId="0" borderId="28" xfId="0" applyNumberFormat="1" applyFont="1" applyBorder="1" applyAlignment="1">
      <alignment horizontal="center"/>
    </xf>
    <xf numFmtId="2" fontId="7" fillId="0" borderId="28" xfId="0" applyNumberFormat="1" applyFont="1" applyBorder="1" applyAlignment="1">
      <alignment horizontal="center"/>
    </xf>
    <xf numFmtId="2" fontId="2" fillId="0" borderId="29" xfId="0" applyNumberFormat="1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2" fontId="2" fillId="0" borderId="28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7" fillId="0" borderId="0" xfId="0" applyFont="1" applyAlignment="1"/>
    <xf numFmtId="0" fontId="7" fillId="0" borderId="16" xfId="0" applyFont="1" applyBorder="1" applyAlignment="1"/>
    <xf numFmtId="0" fontId="7" fillId="0" borderId="16" xfId="0" applyFont="1" applyBorder="1" applyAlignment="1"/>
    <xf numFmtId="164" fontId="7" fillId="0" borderId="16" xfId="0" applyNumberFormat="1" applyFont="1" applyBorder="1" applyAlignment="1"/>
    <xf numFmtId="164" fontId="7" fillId="0" borderId="0" xfId="0" applyNumberFormat="1" applyFont="1" applyAlignment="1"/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" fontId="7" fillId="18" borderId="16" xfId="0" applyNumberFormat="1" applyFont="1" applyFill="1" applyBorder="1" applyAlignment="1"/>
    <xf numFmtId="164" fontId="7" fillId="18" borderId="16" xfId="0" applyNumberFormat="1" applyFont="1" applyFill="1" applyBorder="1" applyAlignment="1"/>
    <xf numFmtId="0" fontId="7" fillId="18" borderId="16" xfId="0" applyFont="1" applyFill="1" applyBorder="1" applyAlignment="1">
      <alignment horizontal="right"/>
    </xf>
    <xf numFmtId="164" fontId="7" fillId="18" borderId="16" xfId="0" applyNumberFormat="1" applyFont="1" applyFill="1" applyBorder="1" applyAlignment="1">
      <alignment horizontal="right"/>
    </xf>
    <xf numFmtId="164" fontId="2" fillId="18" borderId="16" xfId="0" applyNumberFormat="1" applyFont="1" applyFill="1" applyBorder="1" applyAlignment="1"/>
    <xf numFmtId="1" fontId="7" fillId="0" borderId="16" xfId="0" applyNumberFormat="1" applyFont="1" applyBorder="1" applyAlignment="1"/>
    <xf numFmtId="164" fontId="2" fillId="0" borderId="16" xfId="0" applyNumberFormat="1" applyFont="1" applyBorder="1" applyAlignment="1"/>
    <xf numFmtId="164" fontId="2" fillId="4" borderId="16" xfId="0" applyNumberFormat="1" applyFont="1" applyFill="1" applyBorder="1" applyAlignment="1"/>
    <xf numFmtId="164" fontId="7" fillId="18" borderId="16" xfId="0" applyNumberFormat="1" applyFont="1" applyFill="1" applyBorder="1" applyAlignment="1">
      <alignment horizontal="right"/>
    </xf>
    <xf numFmtId="164" fontId="2" fillId="0" borderId="0" xfId="0" applyNumberFormat="1" applyFont="1"/>
    <xf numFmtId="0" fontId="7" fillId="0" borderId="16" xfId="0" applyFont="1" applyBorder="1" applyAlignment="1">
      <alignment horizontal="right"/>
    </xf>
    <xf numFmtId="164" fontId="2" fillId="5" borderId="16" xfId="0" applyNumberFormat="1" applyFont="1" applyFill="1" applyBorder="1" applyAlignment="1"/>
    <xf numFmtId="0" fontId="7" fillId="0" borderId="16" xfId="0" applyFont="1" applyBorder="1" applyAlignment="1">
      <alignment horizontal="right"/>
    </xf>
    <xf numFmtId="164" fontId="7" fillId="0" borderId="16" xfId="0" applyNumberFormat="1" applyFont="1" applyBorder="1" applyAlignment="1">
      <alignment horizontal="right"/>
    </xf>
    <xf numFmtId="164" fontId="7" fillId="0" borderId="16" xfId="0" applyNumberFormat="1" applyFont="1" applyBorder="1" applyAlignment="1">
      <alignment horizontal="right"/>
    </xf>
    <xf numFmtId="167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1" fontId="7" fillId="17" borderId="16" xfId="0" applyNumberFormat="1" applyFont="1" applyFill="1" applyBorder="1" applyAlignment="1"/>
    <xf numFmtId="164" fontId="7" fillId="17" borderId="16" xfId="0" applyNumberFormat="1" applyFont="1" applyFill="1" applyBorder="1" applyAlignment="1"/>
    <xf numFmtId="164" fontId="7" fillId="17" borderId="16" xfId="0" applyNumberFormat="1" applyFont="1" applyFill="1" applyBorder="1" applyAlignment="1">
      <alignment horizontal="right"/>
    </xf>
    <xf numFmtId="1" fontId="7" fillId="5" borderId="16" xfId="0" applyNumberFormat="1" applyFont="1" applyFill="1" applyBorder="1" applyAlignment="1"/>
    <xf numFmtId="164" fontId="7" fillId="5" borderId="16" xfId="0" applyNumberFormat="1" applyFont="1" applyFill="1" applyBorder="1" applyAlignment="1"/>
    <xf numFmtId="0" fontId="7" fillId="5" borderId="16" xfId="0" applyFont="1" applyFill="1" applyBorder="1" applyAlignment="1">
      <alignment horizontal="right"/>
    </xf>
    <xf numFmtId="164" fontId="7" fillId="5" borderId="16" xfId="0" applyNumberFormat="1" applyFont="1" applyFill="1" applyBorder="1" applyAlignment="1">
      <alignment horizontal="right"/>
    </xf>
    <xf numFmtId="164" fontId="7" fillId="5" borderId="16" xfId="0" applyNumberFormat="1" applyFont="1" applyFill="1" applyBorder="1" applyAlignment="1">
      <alignment horizontal="right"/>
    </xf>
    <xf numFmtId="1" fontId="7" fillId="4" borderId="16" xfId="0" applyNumberFormat="1" applyFont="1" applyFill="1" applyBorder="1" applyAlignment="1"/>
    <xf numFmtId="164" fontId="7" fillId="4" borderId="16" xfId="0" applyNumberFormat="1" applyFont="1" applyFill="1" applyBorder="1" applyAlignment="1"/>
    <xf numFmtId="0" fontId="7" fillId="4" borderId="16" xfId="0" applyFont="1" applyFill="1" applyBorder="1" applyAlignment="1">
      <alignment horizontal="right"/>
    </xf>
    <xf numFmtId="164" fontId="7" fillId="4" borderId="16" xfId="0" applyNumberFormat="1" applyFont="1" applyFill="1" applyBorder="1" applyAlignment="1">
      <alignment horizontal="right"/>
    </xf>
    <xf numFmtId="1" fontId="2" fillId="4" borderId="16" xfId="0" applyNumberFormat="1" applyFont="1" applyFill="1" applyBorder="1" applyAlignment="1"/>
    <xf numFmtId="164" fontId="2" fillId="4" borderId="16" xfId="0" applyNumberFormat="1" applyFont="1" applyFill="1" applyBorder="1"/>
    <xf numFmtId="1" fontId="2" fillId="0" borderId="16" xfId="0" applyNumberFormat="1" applyFont="1" applyBorder="1" applyAlignment="1"/>
    <xf numFmtId="164" fontId="2" fillId="0" borderId="0" xfId="0" applyNumberFormat="1" applyFont="1" applyAlignment="1"/>
    <xf numFmtId="1" fontId="7" fillId="0" borderId="0" xfId="0" applyNumberFormat="1" applyFont="1" applyAlignment="1"/>
    <xf numFmtId="0" fontId="7" fillId="0" borderId="0" xfId="0" applyFont="1" applyAlignment="1">
      <alignment horizontal="right"/>
    </xf>
    <xf numFmtId="0" fontId="7" fillId="0" borderId="0" xfId="0" applyFont="1" applyAlignment="1"/>
    <xf numFmtId="0" fontId="10" fillId="0" borderId="16" xfId="0" applyFont="1" applyBorder="1" applyAlignment="1"/>
    <xf numFmtId="0" fontId="10" fillId="0" borderId="16" xfId="0" applyFont="1" applyBorder="1" applyAlignment="1"/>
    <xf numFmtId="164" fontId="10" fillId="0" borderId="16" xfId="0" applyNumberFormat="1" applyFont="1" applyBorder="1" applyAlignment="1"/>
    <xf numFmtId="164" fontId="10" fillId="0" borderId="16" xfId="0" applyNumberFormat="1" applyFont="1" applyBorder="1" applyAlignment="1">
      <alignment wrapText="1"/>
    </xf>
    <xf numFmtId="0" fontId="10" fillId="0" borderId="16" xfId="0" applyFont="1" applyBorder="1" applyAlignment="1">
      <alignment horizontal="right"/>
    </xf>
    <xf numFmtId="0" fontId="10" fillId="0" borderId="16" xfId="0" applyFont="1" applyBorder="1" applyAlignment="1"/>
    <xf numFmtId="0" fontId="10" fillId="0" borderId="16" xfId="0" applyFont="1" applyBorder="1" applyAlignment="1">
      <alignment horizontal="right"/>
    </xf>
    <xf numFmtId="0" fontId="2" fillId="0" borderId="16" xfId="0" applyFont="1" applyBorder="1"/>
    <xf numFmtId="0" fontId="2" fillId="0" borderId="16" xfId="0" applyFont="1" applyBorder="1" applyAlignment="1"/>
    <xf numFmtId="0" fontId="2" fillId="0" borderId="16" xfId="0" applyFont="1" applyBorder="1" applyAlignment="1"/>
    <xf numFmtId="164" fontId="10" fillId="0" borderId="16" xfId="0" applyNumberFormat="1" applyFont="1" applyBorder="1" applyAlignment="1">
      <alignment horizontal="right"/>
    </xf>
    <xf numFmtId="164" fontId="10" fillId="0" borderId="16" xfId="0" applyNumberFormat="1" applyFont="1" applyBorder="1" applyAlignment="1"/>
    <xf numFmtId="168" fontId="10" fillId="0" borderId="16" xfId="0" applyNumberFormat="1" applyFont="1" applyBorder="1" applyAlignment="1">
      <alignment horizontal="right"/>
    </xf>
    <xf numFmtId="0" fontId="7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7" fillId="17" borderId="43" xfId="0" applyFont="1" applyFill="1" applyBorder="1"/>
    <xf numFmtId="0" fontId="7" fillId="17" borderId="44" xfId="0" applyFont="1" applyFill="1" applyBorder="1"/>
    <xf numFmtId="0" fontId="7" fillId="17" borderId="45" xfId="0" applyFont="1" applyFill="1" applyBorder="1"/>
    <xf numFmtId="0" fontId="7" fillId="17" borderId="46" xfId="0" applyFont="1" applyFill="1" applyBorder="1"/>
    <xf numFmtId="0" fontId="7" fillId="17" borderId="47" xfId="0" applyFont="1" applyFill="1" applyBorder="1"/>
    <xf numFmtId="0" fontId="3" fillId="17" borderId="48" xfId="0" applyFont="1" applyFill="1" applyBorder="1" applyAlignment="1">
      <alignment wrapText="1"/>
    </xf>
    <xf numFmtId="0" fontId="3" fillId="17" borderId="49" xfId="0" applyFont="1" applyFill="1" applyBorder="1" applyAlignment="1">
      <alignment wrapText="1"/>
    </xf>
    <xf numFmtId="0" fontId="3" fillId="17" borderId="50" xfId="0" applyFont="1" applyFill="1" applyBorder="1" applyAlignment="1">
      <alignment wrapText="1"/>
    </xf>
    <xf numFmtId="0" fontId="1" fillId="17" borderId="18" xfId="0" applyFont="1" applyFill="1" applyBorder="1" applyAlignment="1">
      <alignment horizontal="right" wrapText="1"/>
    </xf>
    <xf numFmtId="0" fontId="1" fillId="17" borderId="1" xfId="0" applyFont="1" applyFill="1" applyBorder="1" applyAlignment="1">
      <alignment horizontal="right" wrapText="1"/>
    </xf>
    <xf numFmtId="0" fontId="1" fillId="17" borderId="7" xfId="0" applyFont="1" applyFill="1" applyBorder="1" applyAlignment="1">
      <alignment horizontal="right" wrapText="1"/>
    </xf>
    <xf numFmtId="0" fontId="1" fillId="17" borderId="51" xfId="0" applyFont="1" applyFill="1" applyBorder="1" applyAlignment="1">
      <alignment horizontal="right" wrapText="1"/>
    </xf>
    <xf numFmtId="0" fontId="1" fillId="17" borderId="2" xfId="0" applyFont="1" applyFill="1" applyBorder="1" applyAlignment="1">
      <alignment horizontal="right" wrapText="1"/>
    </xf>
    <xf numFmtId="0" fontId="2" fillId="0" borderId="0" xfId="0" applyFont="1" applyAlignment="1"/>
    <xf numFmtId="0" fontId="1" fillId="17" borderId="17" xfId="0" applyFont="1" applyFill="1" applyBorder="1" applyAlignment="1">
      <alignment horizontal="right" wrapText="1"/>
    </xf>
    <xf numFmtId="0" fontId="1" fillId="17" borderId="8" xfId="0" applyFont="1" applyFill="1" applyBorder="1" applyAlignment="1">
      <alignment horizontal="right" wrapText="1"/>
    </xf>
    <xf numFmtId="0" fontId="1" fillId="0" borderId="52" xfId="0" applyFont="1" applyBorder="1" applyAlignment="1">
      <alignment wrapText="1"/>
    </xf>
    <xf numFmtId="0" fontId="1" fillId="0" borderId="53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16" xfId="0" applyFont="1" applyBorder="1" applyAlignment="1">
      <alignment horizontal="center"/>
    </xf>
    <xf numFmtId="0" fontId="10" fillId="0" borderId="16" xfId="0" applyFont="1" applyBorder="1" applyAlignment="1">
      <alignment horizontal="right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3" fillId="19" borderId="1" xfId="0" applyFont="1" applyFill="1" applyBorder="1" applyAlignment="1">
      <alignment vertical="center"/>
    </xf>
    <xf numFmtId="0" fontId="3" fillId="19" borderId="1" xfId="0" applyFont="1" applyFill="1" applyBorder="1" applyAlignment="1">
      <alignment wrapText="1"/>
    </xf>
    <xf numFmtId="0" fontId="3" fillId="17" borderId="1" xfId="0" applyFont="1" applyFill="1" applyBorder="1" applyAlignment="1">
      <alignment wrapText="1"/>
    </xf>
    <xf numFmtId="0" fontId="7" fillId="0" borderId="1" xfId="0" applyFont="1" applyBorder="1" applyAlignment="1">
      <alignment horizontal="right" wrapText="1"/>
    </xf>
    <xf numFmtId="0" fontId="3" fillId="17" borderId="1" xfId="0" applyFont="1" applyFill="1" applyBorder="1" applyAlignment="1">
      <alignment horizontal="right" wrapText="1"/>
    </xf>
    <xf numFmtId="2" fontId="3" fillId="17" borderId="1" xfId="0" applyNumberFormat="1" applyFont="1" applyFill="1" applyBorder="1" applyAlignment="1">
      <alignment horizontal="right" wrapText="1"/>
    </xf>
    <xf numFmtId="2" fontId="2" fillId="0" borderId="0" xfId="0" applyNumberFormat="1" applyFont="1"/>
    <xf numFmtId="0" fontId="12" fillId="0" borderId="0" xfId="0" applyFont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/>
    </xf>
    <xf numFmtId="0" fontId="10" fillId="0" borderId="16" xfId="0" applyFont="1" applyBorder="1" applyAlignment="1">
      <alignment horizontal="center" wrapText="1"/>
    </xf>
    <xf numFmtId="164" fontId="7" fillId="0" borderId="16" xfId="0" applyNumberFormat="1" applyFont="1" applyBorder="1" applyAlignment="1">
      <alignment horizontal="center" wrapText="1"/>
    </xf>
    <xf numFmtId="2" fontId="7" fillId="0" borderId="16" xfId="0" applyNumberFormat="1" applyFont="1" applyBorder="1" applyAlignment="1">
      <alignment horizontal="center" wrapText="1"/>
    </xf>
    <xf numFmtId="2" fontId="7" fillId="0" borderId="16" xfId="0" applyNumberFormat="1" applyFont="1" applyBorder="1" applyAlignment="1">
      <alignment horizontal="center" wrapText="1"/>
    </xf>
    <xf numFmtId="0" fontId="14" fillId="0" borderId="55" xfId="0" applyFont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/>
    </xf>
    <xf numFmtId="164" fontId="3" fillId="6" borderId="16" xfId="0" applyNumberFormat="1" applyFont="1" applyFill="1" applyBorder="1" applyAlignment="1">
      <alignment horizontal="center"/>
    </xf>
    <xf numFmtId="164" fontId="7" fillId="6" borderId="16" xfId="0" applyNumberFormat="1" applyFont="1" applyFill="1" applyBorder="1" applyAlignment="1">
      <alignment horizontal="center"/>
    </xf>
    <xf numFmtId="2" fontId="7" fillId="6" borderId="16" xfId="0" applyNumberFormat="1" applyFont="1" applyFill="1" applyBorder="1" applyAlignment="1">
      <alignment horizontal="center"/>
    </xf>
    <xf numFmtId="2" fontId="10" fillId="6" borderId="16" xfId="0" applyNumberFormat="1" applyFont="1" applyFill="1" applyBorder="1" applyAlignment="1">
      <alignment horizontal="center"/>
    </xf>
    <xf numFmtId="0" fontId="14" fillId="0" borderId="4" xfId="0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164" fontId="3" fillId="20" borderId="16" xfId="0" applyNumberFormat="1" applyFont="1" applyFill="1" applyBorder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2" fontId="7" fillId="21" borderId="16" xfId="0" applyNumberFormat="1" applyFont="1" applyFill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164" fontId="3" fillId="0" borderId="16" xfId="0" applyNumberFormat="1" applyFont="1" applyBorder="1" applyAlignment="1">
      <alignment horizontal="center"/>
    </xf>
    <xf numFmtId="2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4" fontId="10" fillId="0" borderId="16" xfId="0" applyNumberFormat="1" applyFont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164" fontId="3" fillId="7" borderId="16" xfId="0" applyNumberFormat="1" applyFont="1" applyFill="1" applyBorder="1" applyAlignment="1">
      <alignment horizontal="center"/>
    </xf>
    <xf numFmtId="164" fontId="7" fillId="7" borderId="16" xfId="0" applyNumberFormat="1" applyFont="1" applyFill="1" applyBorder="1" applyAlignment="1">
      <alignment horizontal="center"/>
    </xf>
    <xf numFmtId="2" fontId="7" fillId="7" borderId="16" xfId="0" applyNumberFormat="1" applyFont="1" applyFill="1" applyBorder="1" applyAlignment="1">
      <alignment horizontal="center"/>
    </xf>
    <xf numFmtId="2" fontId="10" fillId="7" borderId="16" xfId="0" applyNumberFormat="1" applyFont="1" applyFill="1" applyBorder="1" applyAlignment="1">
      <alignment horizontal="center"/>
    </xf>
    <xf numFmtId="2" fontId="7" fillId="22" borderId="16" xfId="0" applyNumberFormat="1" applyFont="1" applyFill="1" applyBorder="1" applyAlignment="1">
      <alignment horizontal="center"/>
    </xf>
    <xf numFmtId="0" fontId="3" fillId="7" borderId="33" xfId="0" applyFont="1" applyFill="1" applyBorder="1" applyAlignment="1">
      <alignment horizontal="center"/>
    </xf>
    <xf numFmtId="164" fontId="3" fillId="7" borderId="33" xfId="0" applyNumberFormat="1" applyFont="1" applyFill="1" applyBorder="1" applyAlignment="1">
      <alignment horizontal="center"/>
    </xf>
    <xf numFmtId="164" fontId="7" fillId="7" borderId="33" xfId="0" applyNumberFormat="1" applyFont="1" applyFill="1" applyBorder="1" applyAlignment="1">
      <alignment horizontal="center"/>
    </xf>
    <xf numFmtId="2" fontId="7" fillId="7" borderId="33" xfId="0" applyNumberFormat="1" applyFont="1" applyFill="1" applyBorder="1" applyAlignment="1">
      <alignment horizontal="center"/>
    </xf>
    <xf numFmtId="2" fontId="7" fillId="7" borderId="33" xfId="0" applyNumberFormat="1" applyFont="1" applyFill="1" applyBorder="1" applyAlignment="1"/>
    <xf numFmtId="0" fontId="3" fillId="7" borderId="15" xfId="0" applyFont="1" applyFill="1" applyBorder="1" applyAlignment="1">
      <alignment horizontal="center"/>
    </xf>
    <xf numFmtId="0" fontId="3" fillId="7" borderId="56" xfId="0" applyFont="1" applyFill="1" applyBorder="1" applyAlignment="1">
      <alignment horizontal="center"/>
    </xf>
    <xf numFmtId="164" fontId="3" fillId="7" borderId="56" xfId="0" applyNumberFormat="1" applyFont="1" applyFill="1" applyBorder="1" applyAlignment="1">
      <alignment horizontal="center"/>
    </xf>
    <xf numFmtId="164" fontId="7" fillId="7" borderId="56" xfId="0" applyNumberFormat="1" applyFont="1" applyFill="1" applyBorder="1" applyAlignment="1">
      <alignment horizontal="center"/>
    </xf>
    <xf numFmtId="2" fontId="7" fillId="7" borderId="56" xfId="0" applyNumberFormat="1" applyFont="1" applyFill="1" applyBorder="1" applyAlignment="1">
      <alignment horizontal="center"/>
    </xf>
    <xf numFmtId="2" fontId="7" fillId="7" borderId="56" xfId="0" applyNumberFormat="1" applyFont="1" applyFill="1" applyBorder="1" applyAlignment="1"/>
    <xf numFmtId="0" fontId="7" fillId="0" borderId="15" xfId="0" applyFont="1" applyBorder="1" applyAlignment="1"/>
    <xf numFmtId="0" fontId="7" fillId="0" borderId="56" xfId="0" applyFont="1" applyBorder="1" applyAlignment="1"/>
    <xf numFmtId="164" fontId="3" fillId="20" borderId="56" xfId="0" applyNumberFormat="1" applyFont="1" applyFill="1" applyBorder="1" applyAlignment="1">
      <alignment horizontal="center"/>
    </xf>
    <xf numFmtId="164" fontId="7" fillId="0" borderId="56" xfId="0" applyNumberFormat="1" applyFont="1" applyBorder="1" applyAlignment="1">
      <alignment horizontal="center"/>
    </xf>
    <xf numFmtId="2" fontId="7" fillId="22" borderId="56" xfId="0" applyNumberFormat="1" applyFont="1" applyFill="1" applyBorder="1" applyAlignment="1">
      <alignment horizontal="center"/>
    </xf>
    <xf numFmtId="2" fontId="7" fillId="0" borderId="56" xfId="0" applyNumberFormat="1" applyFont="1" applyBorder="1" applyAlignment="1">
      <alignment horizontal="center"/>
    </xf>
    <xf numFmtId="164" fontId="3" fillId="0" borderId="56" xfId="0" applyNumberFormat="1" applyFont="1" applyBorder="1" applyAlignment="1">
      <alignment horizontal="center"/>
    </xf>
    <xf numFmtId="2" fontId="7" fillId="0" borderId="56" xfId="0" applyNumberFormat="1" applyFont="1" applyBorder="1" applyAlignment="1"/>
    <xf numFmtId="164" fontId="7" fillId="0" borderId="56" xfId="0" applyNumberFormat="1" applyFont="1" applyBorder="1" applyAlignment="1"/>
    <xf numFmtId="0" fontId="7" fillId="0" borderId="56" xfId="0" applyFont="1" applyBorder="1" applyAlignment="1">
      <alignment horizontal="center"/>
    </xf>
    <xf numFmtId="0" fontId="10" fillId="7" borderId="16" xfId="0" applyFont="1" applyFill="1" applyBorder="1" applyAlignment="1">
      <alignment horizontal="center"/>
    </xf>
    <xf numFmtId="164" fontId="3" fillId="23" borderId="16" xfId="0" applyNumberFormat="1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5" fillId="0" borderId="17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5" fillId="0" borderId="8" xfId="0" applyFont="1" applyBorder="1" applyAlignment="1">
      <alignment horizontal="right" wrapText="1"/>
    </xf>
    <xf numFmtId="0" fontId="3" fillId="0" borderId="8" xfId="0" applyFont="1" applyBorder="1" applyAlignment="1">
      <alignment horizont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0" xfId="0" applyFont="1" applyBorder="1" applyAlignment="1"/>
    <xf numFmtId="0" fontId="7" fillId="0" borderId="60" xfId="0" applyFont="1" applyBorder="1"/>
    <xf numFmtId="0" fontId="1" fillId="0" borderId="61" xfId="0" applyFont="1" applyBorder="1" applyAlignment="1">
      <alignment horizontal="center" wrapText="1"/>
    </xf>
    <xf numFmtId="0" fontId="1" fillId="24" borderId="43" xfId="0" applyFont="1" applyFill="1" applyBorder="1" applyAlignment="1">
      <alignment horizontal="center" wrapText="1"/>
    </xf>
    <xf numFmtId="0" fontId="7" fillId="0" borderId="62" xfId="0" applyFont="1" applyBorder="1"/>
    <xf numFmtId="0" fontId="7" fillId="25" borderId="63" xfId="0" applyFont="1" applyFill="1" applyBorder="1"/>
    <xf numFmtId="0" fontId="7" fillId="25" borderId="43" xfId="0" applyFont="1" applyFill="1" applyBorder="1"/>
    <xf numFmtId="2" fontId="1" fillId="25" borderId="8" xfId="0" applyNumberFormat="1" applyFont="1" applyFill="1" applyBorder="1" applyAlignment="1">
      <alignment horizontal="center" wrapText="1"/>
    </xf>
    <xf numFmtId="2" fontId="3" fillId="25" borderId="1" xfId="0" applyNumberFormat="1" applyFont="1" applyFill="1" applyBorder="1" applyAlignment="1">
      <alignment horizontal="right" wrapText="1"/>
    </xf>
    <xf numFmtId="2" fontId="7" fillId="25" borderId="43" xfId="0" applyNumberFormat="1" applyFont="1" applyFill="1" applyBorder="1"/>
    <xf numFmtId="0" fontId="1" fillId="0" borderId="8" xfId="0" applyFont="1" applyBorder="1" applyAlignment="1">
      <alignment horizontal="center" wrapText="1"/>
    </xf>
    <xf numFmtId="2" fontId="1" fillId="0" borderId="8" xfId="0" applyNumberFormat="1" applyFont="1" applyBorder="1" applyAlignment="1">
      <alignment horizontal="center" wrapText="1"/>
    </xf>
    <xf numFmtId="2" fontId="3" fillId="26" borderId="1" xfId="0" applyNumberFormat="1" applyFont="1" applyFill="1" applyBorder="1" applyAlignment="1">
      <alignment horizontal="right" wrapText="1"/>
    </xf>
    <xf numFmtId="2" fontId="3" fillId="0" borderId="1" xfId="0" applyNumberFormat="1" applyFont="1" applyBorder="1" applyAlignment="1">
      <alignment horizontal="right" wrapText="1"/>
    </xf>
    <xf numFmtId="0" fontId="1" fillId="0" borderId="59" xfId="0" applyFont="1" applyBorder="1" applyAlignment="1">
      <alignment wrapText="1"/>
    </xf>
    <xf numFmtId="2" fontId="3" fillId="26" borderId="2" xfId="0" applyNumberFormat="1" applyFont="1" applyFill="1" applyBorder="1" applyAlignment="1">
      <alignment horizontal="right" wrapText="1"/>
    </xf>
    <xf numFmtId="2" fontId="3" fillId="0" borderId="64" xfId="0" applyNumberFormat="1" applyFont="1" applyBorder="1" applyAlignment="1">
      <alignment horizontal="right" wrapText="1"/>
    </xf>
    <xf numFmtId="0" fontId="16" fillId="24" borderId="43" xfId="0" applyFont="1" applyFill="1" applyBorder="1" applyAlignment="1">
      <alignment horizontal="center" wrapText="1"/>
    </xf>
    <xf numFmtId="0" fontId="7" fillId="27" borderId="63" xfId="0" applyFont="1" applyFill="1" applyBorder="1"/>
    <xf numFmtId="0" fontId="7" fillId="27" borderId="43" xfId="0" applyFont="1" applyFill="1" applyBorder="1"/>
    <xf numFmtId="2" fontId="1" fillId="27" borderId="8" xfId="0" applyNumberFormat="1" applyFont="1" applyFill="1" applyBorder="1" applyAlignment="1">
      <alignment horizontal="center" wrapText="1"/>
    </xf>
    <xf numFmtId="2" fontId="3" fillId="27" borderId="1" xfId="0" applyNumberFormat="1" applyFont="1" applyFill="1" applyBorder="1" applyAlignment="1">
      <alignment horizontal="right" wrapText="1"/>
    </xf>
    <xf numFmtId="2" fontId="7" fillId="27" borderId="43" xfId="0" applyNumberFormat="1" applyFont="1" applyFill="1" applyBorder="1"/>
    <xf numFmtId="0" fontId="7" fillId="0" borderId="65" xfId="0" applyFont="1" applyBorder="1"/>
    <xf numFmtId="0" fontId="7" fillId="0" borderId="19" xfId="0" applyFont="1" applyBorder="1"/>
    <xf numFmtId="0" fontId="7" fillId="0" borderId="66" xfId="0" applyFont="1" applyBorder="1"/>
    <xf numFmtId="0" fontId="7" fillId="24" borderId="43" xfId="0" applyFont="1" applyFill="1" applyBorder="1"/>
    <xf numFmtId="0" fontId="7" fillId="0" borderId="67" xfId="0" applyFont="1" applyBorder="1" applyAlignment="1">
      <alignment wrapText="1"/>
    </xf>
    <xf numFmtId="0" fontId="3" fillId="0" borderId="68" xfId="0" applyFont="1" applyBorder="1" applyAlignment="1">
      <alignment vertical="center"/>
    </xf>
    <xf numFmtId="0" fontId="3" fillId="0" borderId="68" xfId="0" applyFont="1" applyBorder="1" applyAlignment="1">
      <alignment wrapText="1"/>
    </xf>
    <xf numFmtId="0" fontId="7" fillId="0" borderId="69" xfId="0" applyFont="1" applyBorder="1" applyAlignment="1">
      <alignment wrapText="1"/>
    </xf>
    <xf numFmtId="0" fontId="7" fillId="0" borderId="70" xfId="0" applyFont="1" applyBorder="1" applyAlignment="1">
      <alignment wrapText="1"/>
    </xf>
    <xf numFmtId="0" fontId="7" fillId="0" borderId="64" xfId="0" applyFont="1" applyBorder="1" applyAlignment="1">
      <alignment wrapText="1"/>
    </xf>
    <xf numFmtId="0" fontId="7" fillId="0" borderId="71" xfId="0" applyFont="1" applyBorder="1" applyAlignment="1">
      <alignment wrapText="1"/>
    </xf>
    <xf numFmtId="0" fontId="7" fillId="0" borderId="72" xfId="0" applyFont="1" applyBorder="1" applyAlignment="1">
      <alignment wrapText="1"/>
    </xf>
    <xf numFmtId="0" fontId="3" fillId="0" borderId="64" xfId="0" applyFont="1" applyBorder="1" applyAlignment="1">
      <alignment wrapText="1"/>
    </xf>
    <xf numFmtId="0" fontId="3" fillId="0" borderId="71" xfId="0" applyFont="1" applyBorder="1" applyAlignment="1">
      <alignment wrapText="1"/>
    </xf>
    <xf numFmtId="0" fontId="7" fillId="0" borderId="7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73" xfId="0" applyFont="1" applyBorder="1" applyAlignment="1">
      <alignment wrapText="1"/>
    </xf>
    <xf numFmtId="0" fontId="3" fillId="17" borderId="74" xfId="0" applyFont="1" applyFill="1" applyBorder="1" applyAlignment="1">
      <alignment wrapText="1"/>
    </xf>
    <xf numFmtId="0" fontId="3" fillId="17" borderId="73" xfId="0" applyFont="1" applyFill="1" applyBorder="1" applyAlignment="1">
      <alignment horizontal="right" wrapText="1"/>
    </xf>
    <xf numFmtId="0" fontId="7" fillId="17" borderId="73" xfId="0" applyFont="1" applyFill="1" applyBorder="1" applyAlignment="1">
      <alignment wrapText="1"/>
    </xf>
    <xf numFmtId="0" fontId="7" fillId="28" borderId="73" xfId="0" applyFont="1" applyFill="1" applyBorder="1" applyAlignment="1">
      <alignment wrapText="1"/>
    </xf>
    <xf numFmtId="0" fontId="7" fillId="28" borderId="1" xfId="0" applyFont="1" applyFill="1" applyBorder="1" applyAlignment="1">
      <alignment wrapText="1"/>
    </xf>
    <xf numFmtId="0" fontId="3" fillId="28" borderId="1" xfId="0" applyFont="1" applyFill="1" applyBorder="1" applyAlignment="1">
      <alignment horizontal="right" wrapText="1"/>
    </xf>
    <xf numFmtId="0" fontId="3" fillId="28" borderId="73" xfId="0" applyFont="1" applyFill="1" applyBorder="1" applyAlignment="1">
      <alignment horizontal="right" wrapText="1"/>
    </xf>
    <xf numFmtId="0" fontId="7" fillId="28" borderId="43" xfId="0" applyFont="1" applyFill="1" applyBorder="1"/>
    <xf numFmtId="0" fontId="16" fillId="0" borderId="4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73" xfId="0" applyFont="1" applyBorder="1" applyAlignment="1">
      <alignment horizontal="right" wrapText="1"/>
    </xf>
    <xf numFmtId="0" fontId="3" fillId="0" borderId="74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3" fillId="0" borderId="71" xfId="0" applyFont="1" applyBorder="1" applyAlignment="1">
      <alignment horizontal="right" wrapText="1"/>
    </xf>
    <xf numFmtId="0" fontId="3" fillId="0" borderId="72" xfId="0" applyFont="1" applyBorder="1" applyAlignment="1">
      <alignment wrapText="1"/>
    </xf>
    <xf numFmtId="0" fontId="3" fillId="0" borderId="64" xfId="0" applyFont="1" applyBorder="1" applyAlignment="1">
      <alignment horizontal="right" wrapText="1"/>
    </xf>
    <xf numFmtId="0" fontId="7" fillId="0" borderId="75" xfId="0" applyFont="1" applyBorder="1"/>
    <xf numFmtId="0" fontId="3" fillId="26" borderId="64" xfId="0" applyFont="1" applyFill="1" applyBorder="1" applyAlignment="1">
      <alignment wrapText="1"/>
    </xf>
    <xf numFmtId="0" fontId="3" fillId="26" borderId="71" xfId="0" applyFont="1" applyFill="1" applyBorder="1" applyAlignment="1">
      <alignment wrapText="1"/>
    </xf>
    <xf numFmtId="0" fontId="3" fillId="29" borderId="64" xfId="0" applyFont="1" applyFill="1" applyBorder="1" applyAlignment="1">
      <alignment wrapText="1"/>
    </xf>
    <xf numFmtId="0" fontId="3" fillId="29" borderId="71" xfId="0" applyFont="1" applyFill="1" applyBorder="1" applyAlignment="1">
      <alignment wrapText="1"/>
    </xf>
    <xf numFmtId="0" fontId="3" fillId="26" borderId="1" xfId="0" applyFont="1" applyFill="1" applyBorder="1" applyAlignment="1">
      <alignment horizontal="right" wrapText="1"/>
    </xf>
    <xf numFmtId="0" fontId="3" fillId="26" borderId="73" xfId="0" applyFont="1" applyFill="1" applyBorder="1" applyAlignment="1">
      <alignment horizontal="right" wrapText="1"/>
    </xf>
    <xf numFmtId="0" fontId="3" fillId="29" borderId="1" xfId="0" applyFont="1" applyFill="1" applyBorder="1" applyAlignment="1">
      <alignment horizontal="right" wrapText="1"/>
    </xf>
    <xf numFmtId="0" fontId="3" fillId="29" borderId="73" xfId="0" applyFont="1" applyFill="1" applyBorder="1" applyAlignment="1">
      <alignment horizontal="right" wrapText="1"/>
    </xf>
    <xf numFmtId="0" fontId="13" fillId="0" borderId="4" xfId="0" applyFont="1" applyBorder="1" applyAlignment="1">
      <alignment horizontal="center" vertical="center" wrapText="1"/>
    </xf>
    <xf numFmtId="0" fontId="7" fillId="26" borderId="43" xfId="0" applyFont="1" applyFill="1" applyBorder="1"/>
    <xf numFmtId="0" fontId="7" fillId="29" borderId="43" xfId="0" applyFont="1" applyFill="1" applyBorder="1"/>
    <xf numFmtId="0" fontId="12" fillId="0" borderId="4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3" fillId="26" borderId="2" xfId="0" applyFont="1" applyFill="1" applyBorder="1" applyAlignment="1">
      <alignment horizontal="right" wrapText="1"/>
    </xf>
    <xf numFmtId="0" fontId="3" fillId="26" borderId="71" xfId="0" applyFont="1" applyFill="1" applyBorder="1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Font="1" applyAlignment="1"/>
    <xf numFmtId="2" fontId="1" fillId="11" borderId="15" xfId="0" applyNumberFormat="1" applyFont="1" applyFill="1" applyBorder="1" applyAlignment="1">
      <alignment horizontal="center" wrapText="1"/>
    </xf>
    <xf numFmtId="0" fontId="2" fillId="8" borderId="30" xfId="0" applyFont="1" applyFill="1" applyBorder="1" applyAlignment="1">
      <alignment horizontal="center"/>
    </xf>
    <xf numFmtId="0" fontId="2" fillId="8" borderId="32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2" fillId="10" borderId="32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8" borderId="31" xfId="0" applyFont="1" applyFill="1" applyBorder="1" applyAlignment="1">
      <alignment horizontal="center"/>
    </xf>
    <xf numFmtId="0" fontId="2" fillId="8" borderId="33" xfId="0" applyFont="1" applyFill="1" applyBorder="1" applyAlignment="1">
      <alignment horizontal="center"/>
    </xf>
    <xf numFmtId="0" fontId="2" fillId="9" borderId="33" xfId="0" applyFont="1" applyFill="1" applyBorder="1" applyAlignment="1">
      <alignment horizontal="center"/>
    </xf>
    <xf numFmtId="0" fontId="2" fillId="10" borderId="33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8" borderId="77" xfId="0" applyFont="1" applyFill="1" applyBorder="1" applyAlignment="1">
      <alignment horizontal="center"/>
    </xf>
    <xf numFmtId="0" fontId="2" fillId="8" borderId="78" xfId="0" applyFont="1" applyFill="1" applyBorder="1" applyAlignment="1">
      <alignment horizontal="center"/>
    </xf>
    <xf numFmtId="0" fontId="2" fillId="9" borderId="78" xfId="0" applyFont="1" applyFill="1" applyBorder="1" applyAlignment="1">
      <alignment horizontal="center"/>
    </xf>
    <xf numFmtId="0" fontId="2" fillId="10" borderId="78" xfId="0" applyFont="1" applyFill="1" applyBorder="1" applyAlignment="1">
      <alignment horizontal="center"/>
    </xf>
    <xf numFmtId="0" fontId="2" fillId="10" borderId="79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7" fillId="0" borderId="19" xfId="0" applyFont="1" applyBorder="1" applyAlignment="1">
      <alignment horizontal="center"/>
    </xf>
    <xf numFmtId="0" fontId="5" fillId="0" borderId="19" xfId="0" applyFont="1" applyBorder="1"/>
    <xf numFmtId="0" fontId="7" fillId="0" borderId="32" xfId="0" applyFont="1" applyBorder="1" applyAlignment="1">
      <alignment horizontal="center"/>
    </xf>
    <xf numFmtId="0" fontId="5" fillId="0" borderId="42" xfId="0" applyFont="1" applyBorder="1"/>
    <xf numFmtId="0" fontId="5" fillId="0" borderId="33" xfId="0" applyFont="1" applyBorder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wrapText="1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/>
    <xf numFmtId="0" fontId="12" fillId="0" borderId="54" xfId="0" applyFont="1" applyBorder="1" applyAlignment="1">
      <alignment vertical="center" wrapText="1"/>
    </xf>
    <xf numFmtId="0" fontId="15" fillId="0" borderId="57" xfId="0" applyFont="1" applyBorder="1" applyAlignment="1">
      <alignment horizontal="center" wrapText="1"/>
    </xf>
    <xf numFmtId="0" fontId="5" fillId="0" borderId="58" xfId="0" applyFont="1" applyBorder="1"/>
    <xf numFmtId="0" fontId="5" fillId="0" borderId="59" xfId="0" applyFont="1" applyBorder="1"/>
    <xf numFmtId="0" fontId="7" fillId="0" borderId="9" xfId="0" applyFont="1" applyBorder="1" applyAlignment="1">
      <alignment horizontal="center" wrapText="1"/>
    </xf>
    <xf numFmtId="0" fontId="7" fillId="0" borderId="57" xfId="0" applyFont="1" applyBorder="1" applyAlignment="1">
      <alignment horizontal="center" wrapText="1"/>
    </xf>
    <xf numFmtId="0" fontId="7" fillId="0" borderId="75" xfId="0" applyFont="1" applyBorder="1" applyAlignment="1">
      <alignment horizontal="center"/>
    </xf>
    <xf numFmtId="0" fontId="5" fillId="0" borderId="75" xfId="0" applyFont="1" applyBorder="1"/>
    <xf numFmtId="0" fontId="5" fillId="0" borderId="76" xfId="0" applyFont="1" applyBorder="1"/>
    <xf numFmtId="0" fontId="1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2" fontId="3" fillId="30" borderId="1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IN VIVO</a:t>
            </a:r>
          </a:p>
        </c:rich>
      </c:tx>
      <c:layout>
        <c:manualLayout>
          <c:xMode val="edge"/>
          <c:yMode val="edge"/>
          <c:x val="0.81079855643044618"/>
          <c:y val="0.89351851851851849"/>
        </c:manualLayout>
      </c:layout>
      <c:overlay val="0"/>
    </c:title>
    <c:autoTitleDeleted val="0"/>
    <c:plotArea>
      <c:layout>
        <c:manualLayout>
          <c:xMode val="edge"/>
          <c:yMode val="edge"/>
          <c:x val="0.14557397716589773"/>
          <c:y val="0.17171296296296298"/>
          <c:w val="0.83234182683686275"/>
          <c:h val="0.61498432487605714"/>
        </c:manualLayout>
      </c:layout>
      <c:barChart>
        <c:barDir val="col"/>
        <c:grouping val="clustered"/>
        <c:varyColors val="1"/>
        <c:ser>
          <c:idx val="0"/>
          <c:order val="0"/>
          <c:tx>
            <c:v>GC3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'in vivo eeg gt'!$G$3:$G$5</c:f>
              <c:strCache>
                <c:ptCount val="3"/>
                <c:pt idx="0">
                  <c:v>Cu 0</c:v>
                </c:pt>
                <c:pt idx="1">
                  <c:v>Cu 1</c:v>
                </c:pt>
                <c:pt idx="2">
                  <c:v>Cu 2</c:v>
                </c:pt>
              </c:strCache>
            </c:strRef>
          </c:cat>
          <c:val>
            <c:numRef>
              <c:f>'in vivo eeg gt'!$H$3:$H$5</c:f>
              <c:numCache>
                <c:formatCode>General</c:formatCode>
                <c:ptCount val="3"/>
                <c:pt idx="0">
                  <c:v>80.668604650000006</c:v>
                </c:pt>
                <c:pt idx="1">
                  <c:v>92.659883730000004</c:v>
                </c:pt>
                <c:pt idx="2">
                  <c:v>89.147286829999999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W/I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'in vivo eeg gt'!$G$3:$G$5</c:f>
              <c:strCache>
                <c:ptCount val="3"/>
                <c:pt idx="0">
                  <c:v>Cu 0</c:v>
                </c:pt>
                <c:pt idx="1">
                  <c:v>Cu 1</c:v>
                </c:pt>
                <c:pt idx="2">
                  <c:v>Cu 2</c:v>
                </c:pt>
              </c:strCache>
            </c:strRef>
          </c:cat>
          <c:val>
            <c:numRef>
              <c:f>'in vivo eeg gt'!$I$3:$I$5</c:f>
              <c:numCache>
                <c:formatCode>General</c:formatCode>
                <c:ptCount val="3"/>
                <c:pt idx="0">
                  <c:v>55.474806200000003</c:v>
                </c:pt>
                <c:pt idx="1">
                  <c:v>48.812984489999998</c:v>
                </c:pt>
                <c:pt idx="2">
                  <c:v>45.058139539999999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358144"/>
        <c:axId val="240360064"/>
      </c:barChart>
      <c:catAx>
        <c:axId val="24035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0360064"/>
        <c:crosses val="autoZero"/>
        <c:auto val="1"/>
        <c:lblAlgn val="ctr"/>
        <c:lblOffset val="100"/>
        <c:noMultiLvlLbl val="1"/>
      </c:catAx>
      <c:valAx>
        <c:axId val="24036006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ug EEG/g soil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035814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IN VIVO
</a:t>
            </a:r>
          </a:p>
        </c:rich>
      </c:tx>
      <c:layout>
        <c:manualLayout>
          <c:xMode val="edge"/>
          <c:yMode val="edge"/>
          <c:x val="0.85802077865266835"/>
          <c:y val="0.82407407407407407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GC3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'in vivo eeg gt'!$A$8:$A$10</c:f>
              <c:strCache>
                <c:ptCount val="3"/>
                <c:pt idx="0">
                  <c:v>Cu 0</c:v>
                </c:pt>
                <c:pt idx="1">
                  <c:v>Cu 1</c:v>
                </c:pt>
                <c:pt idx="2">
                  <c:v>Cu 2</c:v>
                </c:pt>
              </c:strCache>
            </c:strRef>
          </c:cat>
          <c:val>
            <c:numRef>
              <c:f>'in vivo eeg gt'!$B$8:$B$10</c:f>
              <c:numCache>
                <c:formatCode>0.00</c:formatCode>
                <c:ptCount val="3"/>
                <c:pt idx="0">
                  <c:v>46.732954550000002</c:v>
                </c:pt>
                <c:pt idx="1">
                  <c:v>44.886363634999995</c:v>
                </c:pt>
                <c:pt idx="2">
                  <c:v>45.809659095000001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W/I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'in vivo eeg gt'!$A$8:$A$10</c:f>
              <c:strCache>
                <c:ptCount val="3"/>
                <c:pt idx="0">
                  <c:v>Cu 0</c:v>
                </c:pt>
                <c:pt idx="1">
                  <c:v>Cu 1</c:v>
                </c:pt>
                <c:pt idx="2">
                  <c:v>Cu 2</c:v>
                </c:pt>
              </c:strCache>
            </c:strRef>
          </c:cat>
          <c:val>
            <c:numRef>
              <c:f>'in vivo eeg gt'!$C$8:$C$10</c:f>
              <c:numCache>
                <c:formatCode>0.00</c:formatCode>
                <c:ptCount val="3"/>
                <c:pt idx="0">
                  <c:v>36.079545459999999</c:v>
                </c:pt>
                <c:pt idx="1">
                  <c:v>43.465909089999997</c:v>
                </c:pt>
                <c:pt idx="2">
                  <c:v>38.49431818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189632"/>
        <c:axId val="241191552"/>
      </c:barChart>
      <c:catAx>
        <c:axId val="24118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1191552"/>
        <c:crosses val="autoZero"/>
        <c:auto val="1"/>
        <c:lblAlgn val="ctr"/>
        <c:lblOffset val="100"/>
        <c:noMultiLvlLbl val="1"/>
      </c:catAx>
      <c:valAx>
        <c:axId val="241191552"/>
        <c:scaling>
          <c:orientation val="minMax"/>
          <c:max val="5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ug TG/g soil 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118963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IN VITRO</a:t>
            </a:r>
          </a:p>
        </c:rich>
      </c:tx>
      <c:layout>
        <c:manualLayout>
          <c:xMode val="edge"/>
          <c:yMode val="edge"/>
          <c:x val="0.829513779527559"/>
          <c:y val="0.875"/>
        </c:manualLayout>
      </c:layout>
      <c:overlay val="0"/>
    </c:title>
    <c:autoTitleDeleted val="0"/>
    <c:plotArea>
      <c:layout>
        <c:manualLayout>
          <c:xMode val="edge"/>
          <c:yMode val="edge"/>
          <c:x val="0.16716426071741033"/>
          <c:y val="0.21337962962962964"/>
          <c:w val="0.82450240594925639"/>
          <c:h val="0.61498432487605714"/>
        </c:manualLayout>
      </c:layout>
      <c:barChart>
        <c:barDir val="col"/>
        <c:grouping val="clustered"/>
        <c:varyColors val="1"/>
        <c:ser>
          <c:idx val="0"/>
          <c:order val="0"/>
          <c:tx>
            <c:v>GC3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'glomalina tesina'!$B$9:$C$9</c:f>
              <c:strCache>
                <c:ptCount val="2"/>
                <c:pt idx="0">
                  <c:v>TG</c:v>
                </c:pt>
                <c:pt idx="1">
                  <c:v>EEG</c:v>
                </c:pt>
              </c:strCache>
            </c:strRef>
          </c:cat>
          <c:val>
            <c:numRef>
              <c:f>'glomalina tesina'!$B$10:$C$10</c:f>
              <c:numCache>
                <c:formatCode>General</c:formatCode>
                <c:ptCount val="2"/>
                <c:pt idx="0">
                  <c:v>58.380681820000007</c:v>
                </c:pt>
                <c:pt idx="1">
                  <c:v>74.491279075000008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W/I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'glomalina tesina'!$B$9:$C$9</c:f>
              <c:strCache>
                <c:ptCount val="2"/>
                <c:pt idx="0">
                  <c:v>TG</c:v>
                </c:pt>
                <c:pt idx="1">
                  <c:v>EEG</c:v>
                </c:pt>
              </c:strCache>
            </c:strRef>
          </c:cat>
          <c:val>
            <c:numRef>
              <c:f>'glomalina tesina'!$B$11:$C$11</c:f>
              <c:numCache>
                <c:formatCode>General</c:formatCode>
                <c:ptCount val="2"/>
                <c:pt idx="0">
                  <c:v>65.340909100000005</c:v>
                </c:pt>
                <c:pt idx="1">
                  <c:v>88.178294562500014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002176"/>
        <c:axId val="240004096"/>
      </c:barChart>
      <c:catAx>
        <c:axId val="24000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0004096"/>
        <c:crosses val="autoZero"/>
        <c:auto val="1"/>
        <c:lblAlgn val="ctr"/>
        <c:lblOffset val="100"/>
        <c:noMultiLvlLbl val="1"/>
      </c:catAx>
      <c:valAx>
        <c:axId val="240004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ug TG/g soil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000217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3440048118985127"/>
          <c:y val="0.13425925925925927"/>
          <c:w val="0.76282174103237099"/>
          <c:h val="0.74908209390492841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lh!$B$4:$B$6</c:f>
              <c:strCache>
                <c:ptCount val="3"/>
                <c:pt idx="0">
                  <c:v>Cu 0</c:v>
                </c:pt>
                <c:pt idx="1">
                  <c:v>Cu 1</c:v>
                </c:pt>
                <c:pt idx="2">
                  <c:v>Cu 2</c:v>
                </c:pt>
              </c:strCache>
            </c:strRef>
          </c:cat>
          <c:val>
            <c:numRef>
              <c:f>lh!$C$4:$C$6</c:f>
              <c:numCache>
                <c:formatCode>General</c:formatCode>
                <c:ptCount val="3"/>
                <c:pt idx="0">
                  <c:v>80.259661609999995</c:v>
                </c:pt>
                <c:pt idx="1">
                  <c:v>65.736484739999995</c:v>
                </c:pt>
                <c:pt idx="2">
                  <c:v>50.958515310000003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168960"/>
        <c:axId val="240170880"/>
      </c:barChart>
      <c:catAx>
        <c:axId val="240168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0170880"/>
        <c:crosses val="autoZero"/>
        <c:auto val="1"/>
        <c:lblAlgn val="ctr"/>
        <c:lblOffset val="100"/>
        <c:noMultiLvlLbl val="1"/>
      </c:catAx>
      <c:valAx>
        <c:axId val="240170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 
Hyphal length (cm g-1)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586151210265383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01689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6</xdr:row>
      <xdr:rowOff>171450</xdr:rowOff>
    </xdr:from>
    <xdr:ext cx="4552950" cy="2828925"/>
    <xdr:graphicFrame macro="">
      <xdr:nvGraphicFramePr>
        <xdr:cNvPr id="30790459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228600</xdr:colOff>
      <xdr:row>7</xdr:row>
      <xdr:rowOff>38100</xdr:rowOff>
    </xdr:from>
    <xdr:ext cx="4724400" cy="2847975"/>
    <xdr:graphicFrame macro="">
      <xdr:nvGraphicFramePr>
        <xdr:cNvPr id="219206897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504825</xdr:colOff>
      <xdr:row>9</xdr:row>
      <xdr:rowOff>114300</xdr:rowOff>
    </xdr:from>
    <xdr:ext cx="2800350" cy="26098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28575</xdr:colOff>
      <xdr:row>0</xdr:row>
      <xdr:rowOff>171450</xdr:rowOff>
    </xdr:from>
    <xdr:ext cx="4286250" cy="2809875"/>
    <xdr:graphicFrame macro="">
      <xdr:nvGraphicFramePr>
        <xdr:cNvPr id="149198185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276225</xdr:colOff>
      <xdr:row>4</xdr:row>
      <xdr:rowOff>200025</xdr:rowOff>
    </xdr:from>
    <xdr:ext cx="4286250" cy="2781300"/>
    <xdr:graphicFrame macro="">
      <xdr:nvGraphicFramePr>
        <xdr:cNvPr id="661766549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466725</xdr:colOff>
      <xdr:row>6</xdr:row>
      <xdr:rowOff>0</xdr:rowOff>
    </xdr:from>
    <xdr:ext cx="171450" cy="323850"/>
    <xdr:sp macro="" textlink="">
      <xdr:nvSpPr>
        <xdr:cNvPr id="3" name="Shape 3"/>
        <xdr:cNvSpPr txBox="1"/>
      </xdr:nvSpPr>
      <xdr:spPr>
        <a:xfrm>
          <a:off x="5260275" y="3618075"/>
          <a:ext cx="1714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a</a:t>
          </a:r>
          <a:endParaRPr sz="1400"/>
        </a:p>
      </xdr:txBody>
    </xdr:sp>
    <xdr:clientData fLocksWithSheet="0"/>
  </xdr:oneCellAnchor>
  <xdr:oneCellAnchor>
    <xdr:from>
      <xdr:col>10</xdr:col>
      <xdr:colOff>133350</xdr:colOff>
      <xdr:row>8</xdr:row>
      <xdr:rowOff>133350</xdr:rowOff>
    </xdr:from>
    <xdr:ext cx="171450" cy="342900"/>
    <xdr:sp macro="" textlink="">
      <xdr:nvSpPr>
        <xdr:cNvPr id="4" name="Shape 4"/>
        <xdr:cNvSpPr txBox="1"/>
      </xdr:nvSpPr>
      <xdr:spPr>
        <a:xfrm>
          <a:off x="5260275" y="3613313"/>
          <a:ext cx="1714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a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000"/>
  <sheetViews>
    <sheetView workbookViewId="0"/>
  </sheetViews>
  <sheetFormatPr defaultColWidth="12.625" defaultRowHeight="15" customHeight="1" x14ac:dyDescent="0.2"/>
  <cols>
    <col min="1" max="1" width="9.375" customWidth="1"/>
    <col min="2" max="4" width="11.125" customWidth="1"/>
    <col min="5" max="7" width="11" customWidth="1"/>
    <col min="8" max="8" width="11.875" customWidth="1"/>
    <col min="9" max="9" width="11" customWidth="1"/>
    <col min="10" max="26" width="9.375" customWidth="1"/>
  </cols>
  <sheetData>
    <row r="2" spans="1:19" x14ac:dyDescent="0.25">
      <c r="A2" s="1" t="s">
        <v>0</v>
      </c>
      <c r="B2" s="2" t="s">
        <v>1</v>
      </c>
      <c r="C2" s="1" t="s">
        <v>2</v>
      </c>
      <c r="D2" s="3" t="s">
        <v>3</v>
      </c>
      <c r="E2" s="4" t="s">
        <v>4</v>
      </c>
      <c r="G2" s="5" t="s">
        <v>5</v>
      </c>
      <c r="H2" s="2" t="s">
        <v>1</v>
      </c>
      <c r="I2" s="1" t="s">
        <v>2</v>
      </c>
      <c r="J2" s="3" t="s">
        <v>3</v>
      </c>
      <c r="K2" s="4" t="s">
        <v>4</v>
      </c>
      <c r="L2" s="6"/>
      <c r="M2" s="7" t="s">
        <v>6</v>
      </c>
      <c r="N2" s="8" t="s">
        <v>7</v>
      </c>
      <c r="O2" s="8" t="s">
        <v>8</v>
      </c>
      <c r="P2" s="9" t="s">
        <v>9</v>
      </c>
      <c r="Q2" s="9" t="s">
        <v>10</v>
      </c>
      <c r="R2" s="9" t="s">
        <v>11</v>
      </c>
      <c r="S2" s="6"/>
    </row>
    <row r="3" spans="1:19" x14ac:dyDescent="0.25">
      <c r="A3" s="10" t="s">
        <v>12</v>
      </c>
      <c r="B3" s="11">
        <v>0.934659091</v>
      </c>
      <c r="C3" s="12">
        <v>0.72159090910000001</v>
      </c>
      <c r="D3" s="13">
        <v>8.5085108780000002E-2</v>
      </c>
      <c r="E3" s="12">
        <v>0.1171336825</v>
      </c>
      <c r="G3" s="10" t="s">
        <v>12</v>
      </c>
      <c r="H3" s="14">
        <v>80.668604650000006</v>
      </c>
      <c r="I3" s="14">
        <v>55.474806200000003</v>
      </c>
      <c r="J3" s="14">
        <v>3.739837262</v>
      </c>
      <c r="K3" s="14">
        <v>4.6196817609999998</v>
      </c>
      <c r="L3" s="6"/>
      <c r="M3" s="15">
        <v>70.251937999999996</v>
      </c>
      <c r="N3" s="16">
        <v>108.04263565000001</v>
      </c>
      <c r="O3" s="15">
        <v>96.414728699999998</v>
      </c>
      <c r="P3" s="16">
        <v>47.480620154999997</v>
      </c>
      <c r="Q3" s="15">
        <v>59.593023250000002</v>
      </c>
      <c r="R3" s="15">
        <v>39.728682169999999</v>
      </c>
      <c r="S3" s="6"/>
    </row>
    <row r="4" spans="1:19" ht="15.75" x14ac:dyDescent="0.25">
      <c r="A4" s="17" t="s">
        <v>13</v>
      </c>
      <c r="B4" s="11">
        <v>0.89772727269999997</v>
      </c>
      <c r="C4" s="12">
        <v>0.86931818189999999</v>
      </c>
      <c r="D4" s="18">
        <v>6.2241199699999999E-2</v>
      </c>
      <c r="E4" s="12">
        <v>5.1763827229999997E-2</v>
      </c>
      <c r="G4" s="17" t="s">
        <v>13</v>
      </c>
      <c r="H4" s="14">
        <v>92.659883730000004</v>
      </c>
      <c r="I4" s="14">
        <v>48.812984489999998</v>
      </c>
      <c r="J4" s="14">
        <v>5.7645368320000001</v>
      </c>
      <c r="K4" s="14">
        <v>6.8300064320000002</v>
      </c>
      <c r="L4" s="6"/>
      <c r="M4" s="15">
        <v>83.817829450000005</v>
      </c>
      <c r="N4" s="16">
        <v>84.302325600000003</v>
      </c>
      <c r="O4" s="15">
        <v>97.868217049999998</v>
      </c>
      <c r="P4" s="16">
        <v>49.418604649999999</v>
      </c>
      <c r="Q4" s="15">
        <v>61.531007750000001</v>
      </c>
      <c r="R4" s="15">
        <v>30.038759689999999</v>
      </c>
      <c r="S4" s="6"/>
    </row>
    <row r="5" spans="1:19" x14ac:dyDescent="0.25">
      <c r="A5" s="10" t="s">
        <v>14</v>
      </c>
      <c r="B5" s="11">
        <v>0.91619318189999999</v>
      </c>
      <c r="C5" s="12">
        <v>0.76988636369999996</v>
      </c>
      <c r="D5" s="18">
        <v>9.0790642520000006E-2</v>
      </c>
      <c r="E5" s="12">
        <v>3.3574049049999999E-2</v>
      </c>
      <c r="G5" s="10" t="s">
        <v>14</v>
      </c>
      <c r="H5" s="14">
        <v>89.147286829999999</v>
      </c>
      <c r="I5" s="14">
        <v>45.058139539999999</v>
      </c>
      <c r="J5" s="14">
        <v>4.8570585419999999</v>
      </c>
      <c r="K5" s="14">
        <v>7.2485758579999997</v>
      </c>
      <c r="L5" s="6"/>
      <c r="M5" s="15">
        <v>80.910852700000007</v>
      </c>
      <c r="N5" s="16">
        <v>94.9612403</v>
      </c>
      <c r="O5" s="15">
        <v>77.519379850000007</v>
      </c>
      <c r="P5" s="16">
        <v>57.170542650000002</v>
      </c>
      <c r="Q5" s="15">
        <v>35.368217055000002</v>
      </c>
      <c r="R5" s="15">
        <v>46.027131784999995</v>
      </c>
      <c r="S5" s="6"/>
    </row>
    <row r="6" spans="1:19" x14ac:dyDescent="0.25">
      <c r="L6" s="6"/>
      <c r="M6" s="15">
        <v>87.693798450000003</v>
      </c>
      <c r="N6" s="16">
        <v>83.333333350000004</v>
      </c>
      <c r="O6" s="15">
        <v>84.786821700000004</v>
      </c>
      <c r="P6" s="16">
        <v>67.829457349999998</v>
      </c>
      <c r="Q6" s="15">
        <v>38.75968992</v>
      </c>
      <c r="R6" s="15">
        <v>64.437984499999999</v>
      </c>
      <c r="S6" s="6"/>
    </row>
    <row r="7" spans="1:19" x14ac:dyDescent="0.25">
      <c r="A7" s="1" t="s">
        <v>0</v>
      </c>
      <c r="B7" s="2" t="s">
        <v>1</v>
      </c>
      <c r="C7" s="1" t="s">
        <v>2</v>
      </c>
      <c r="D7" s="3" t="s">
        <v>3</v>
      </c>
      <c r="E7" s="4" t="s">
        <v>4</v>
      </c>
      <c r="L7" s="6"/>
      <c r="M7" s="15"/>
      <c r="N7" s="6"/>
      <c r="O7" s="6"/>
      <c r="P7" s="6"/>
      <c r="Q7" s="6"/>
      <c r="R7" s="6"/>
      <c r="S7" s="6"/>
    </row>
    <row r="8" spans="1:19" x14ac:dyDescent="0.25">
      <c r="A8" s="10" t="s">
        <v>12</v>
      </c>
      <c r="B8" s="19">
        <f>0.934659091*50</f>
        <v>46.732954550000002</v>
      </c>
      <c r="C8" s="20">
        <v>36.079545459999999</v>
      </c>
      <c r="D8" s="21">
        <v>4.2542554389999996</v>
      </c>
      <c r="E8" s="20">
        <v>5.8566841270000003</v>
      </c>
      <c r="K8" s="14"/>
      <c r="L8" s="22"/>
      <c r="M8" s="22"/>
      <c r="N8" s="6"/>
      <c r="O8" s="6"/>
      <c r="P8" s="6"/>
      <c r="Q8" s="6"/>
      <c r="R8" s="6"/>
      <c r="S8" s="6"/>
    </row>
    <row r="9" spans="1:19" ht="15.75" x14ac:dyDescent="0.25">
      <c r="A9" s="17" t="s">
        <v>13</v>
      </c>
      <c r="B9" s="19">
        <f>0.8977272727*50</f>
        <v>44.886363634999995</v>
      </c>
      <c r="C9" s="20">
        <v>43.465909089999997</v>
      </c>
      <c r="D9" s="23">
        <v>3.1120599850000001</v>
      </c>
      <c r="E9" s="20">
        <v>2.5881913609999998</v>
      </c>
    </row>
    <row r="10" spans="1:19" ht="14.25" x14ac:dyDescent="0.2">
      <c r="A10" s="10" t="s">
        <v>14</v>
      </c>
      <c r="B10" s="19">
        <f>0.9161931819*50</f>
        <v>45.809659095000001</v>
      </c>
      <c r="C10" s="20">
        <v>38.49431818</v>
      </c>
      <c r="D10" s="23">
        <v>4.5395321260000001</v>
      </c>
      <c r="E10" s="20">
        <v>1.6787024530000001</v>
      </c>
    </row>
    <row r="21" spans="1:14" ht="15.75" customHeight="1" x14ac:dyDescent="0.2"/>
    <row r="22" spans="1:14" ht="15.75" customHeight="1" x14ac:dyDescent="0.2"/>
    <row r="23" spans="1:14" ht="15.75" customHeight="1" x14ac:dyDescent="0.2"/>
    <row r="24" spans="1:14" ht="15.75" customHeight="1" x14ac:dyDescent="0.25">
      <c r="A24" s="548" t="s">
        <v>0</v>
      </c>
      <c r="B24" s="549"/>
      <c r="C24" s="549"/>
      <c r="D24" s="550"/>
      <c r="G24" s="548" t="s">
        <v>15</v>
      </c>
      <c r="H24" s="549"/>
      <c r="I24" s="550"/>
    </row>
    <row r="25" spans="1:14" ht="15.75" customHeight="1" x14ac:dyDescent="0.25">
      <c r="A25" s="24" t="s">
        <v>0</v>
      </c>
      <c r="B25" s="25" t="s">
        <v>12</v>
      </c>
      <c r="C25" s="25" t="s">
        <v>13</v>
      </c>
      <c r="D25" s="25" t="s">
        <v>14</v>
      </c>
      <c r="E25" s="25"/>
      <c r="F25" s="25" t="s">
        <v>16</v>
      </c>
      <c r="G25" s="25" t="s">
        <v>12</v>
      </c>
      <c r="H25" s="25" t="s">
        <v>13</v>
      </c>
      <c r="I25" s="26" t="s">
        <v>14</v>
      </c>
    </row>
    <row r="26" spans="1:14" ht="15.75" customHeight="1" x14ac:dyDescent="0.25">
      <c r="A26" s="27"/>
      <c r="B26" s="28">
        <v>47.159090910000003</v>
      </c>
      <c r="C26" s="28">
        <v>38.06818182</v>
      </c>
      <c r="D26" s="28">
        <v>59.090909099999998</v>
      </c>
      <c r="E26" s="29"/>
      <c r="F26" s="29">
        <v>50</v>
      </c>
      <c r="G26" s="29">
        <f t="shared" ref="G26:G34" si="0">L27*F26</f>
        <v>70.251937999999996</v>
      </c>
      <c r="H26" s="29">
        <f t="shared" ref="H26:H34" si="1">M27*F26</f>
        <v>108.04263565000001</v>
      </c>
      <c r="I26" s="29">
        <f t="shared" ref="I26:I34" si="2">N27*F26</f>
        <v>96.414728699999998</v>
      </c>
      <c r="J26" s="30"/>
      <c r="L26" s="31" t="s">
        <v>17</v>
      </c>
      <c r="M26" s="32" t="s">
        <v>18</v>
      </c>
      <c r="N26" s="32" t="s">
        <v>19</v>
      </c>
    </row>
    <row r="27" spans="1:14" ht="15.75" customHeight="1" x14ac:dyDescent="0.25">
      <c r="A27" s="33"/>
      <c r="B27" s="34">
        <v>35.227272730000003</v>
      </c>
      <c r="C27" s="34">
        <v>48.295454550000002</v>
      </c>
      <c r="D27" s="34">
        <v>58.522727250000003</v>
      </c>
      <c r="E27" s="35"/>
      <c r="F27" s="35">
        <v>50</v>
      </c>
      <c r="G27" s="35">
        <f t="shared" si="0"/>
        <v>83.817829450000005</v>
      </c>
      <c r="H27" s="35">
        <f t="shared" si="1"/>
        <v>84.302325600000003</v>
      </c>
      <c r="I27" s="35">
        <f t="shared" si="2"/>
        <v>97.868217049999998</v>
      </c>
      <c r="J27" s="30"/>
      <c r="L27" s="36">
        <v>1.4050387600000001</v>
      </c>
      <c r="M27" s="37">
        <v>2.1608527130000001</v>
      </c>
      <c r="N27" s="37">
        <v>1.9282945739999999</v>
      </c>
    </row>
    <row r="28" spans="1:14" ht="15.75" customHeight="1" x14ac:dyDescent="0.25">
      <c r="A28" s="33"/>
      <c r="B28" s="34">
        <v>48.863636370000002</v>
      </c>
      <c r="C28" s="34">
        <v>41.477272730000003</v>
      </c>
      <c r="D28" s="34">
        <v>43.18181818</v>
      </c>
      <c r="E28" s="35"/>
      <c r="F28" s="35">
        <v>50</v>
      </c>
      <c r="G28" s="35">
        <f t="shared" si="0"/>
        <v>80.910852700000007</v>
      </c>
      <c r="H28" s="35">
        <f t="shared" si="1"/>
        <v>94.9612403</v>
      </c>
      <c r="I28" s="35">
        <f t="shared" si="2"/>
        <v>77.519379850000007</v>
      </c>
      <c r="J28" s="30"/>
      <c r="L28" s="36">
        <v>1.6763565890000001</v>
      </c>
      <c r="M28" s="37">
        <v>1.6860465120000001</v>
      </c>
      <c r="N28" s="37">
        <v>1.9573643409999999</v>
      </c>
    </row>
    <row r="29" spans="1:14" ht="15.75" customHeight="1" x14ac:dyDescent="0.25">
      <c r="A29" s="33"/>
      <c r="B29" s="34">
        <v>55.681818200000002</v>
      </c>
      <c r="C29" s="34">
        <v>51.704545449999998</v>
      </c>
      <c r="D29" s="34">
        <v>64.204545449999998</v>
      </c>
      <c r="E29" s="35"/>
      <c r="F29" s="35">
        <v>50</v>
      </c>
      <c r="G29" s="35">
        <f t="shared" si="0"/>
        <v>87.693798450000003</v>
      </c>
      <c r="H29" s="35">
        <f t="shared" si="1"/>
        <v>83.333333350000004</v>
      </c>
      <c r="I29" s="35">
        <f t="shared" si="2"/>
        <v>84.786821700000004</v>
      </c>
      <c r="J29" s="30"/>
      <c r="L29" s="36">
        <v>1.618217054</v>
      </c>
      <c r="M29" s="37">
        <v>1.8992248060000001</v>
      </c>
      <c r="N29" s="37">
        <v>1.5503875970000001</v>
      </c>
    </row>
    <row r="30" spans="1:14" ht="15.75" customHeight="1" x14ac:dyDescent="0.25">
      <c r="A30" s="33"/>
      <c r="B30" s="35"/>
      <c r="C30" s="35"/>
      <c r="D30" s="35"/>
      <c r="E30" s="35"/>
      <c r="F30" s="35">
        <v>50</v>
      </c>
      <c r="G30" s="35">
        <f t="shared" si="0"/>
        <v>0</v>
      </c>
      <c r="H30" s="35">
        <f t="shared" si="1"/>
        <v>0</v>
      </c>
      <c r="I30" s="35">
        <f t="shared" si="2"/>
        <v>0</v>
      </c>
      <c r="J30" s="30"/>
      <c r="L30" s="36">
        <v>1.7538759690000001</v>
      </c>
      <c r="M30" s="37">
        <v>1.6666666670000001</v>
      </c>
      <c r="N30" s="37">
        <v>1.6957364340000001</v>
      </c>
    </row>
    <row r="31" spans="1:14" ht="15.75" customHeight="1" x14ac:dyDescent="0.25">
      <c r="A31" s="33" t="s">
        <v>20</v>
      </c>
      <c r="B31" s="38"/>
      <c r="C31" s="38"/>
      <c r="D31" s="38"/>
      <c r="E31" s="35"/>
      <c r="F31" s="35">
        <v>50</v>
      </c>
      <c r="G31" s="35">
        <f t="shared" si="0"/>
        <v>47.480620154999997</v>
      </c>
      <c r="H31" s="35">
        <f t="shared" si="1"/>
        <v>59.593023250000002</v>
      </c>
      <c r="I31" s="35">
        <f t="shared" si="2"/>
        <v>39.728682169999999</v>
      </c>
      <c r="J31" s="30"/>
    </row>
    <row r="32" spans="1:14" ht="15.75" customHeight="1" x14ac:dyDescent="0.25">
      <c r="A32" s="33"/>
      <c r="B32" s="34">
        <v>37.5</v>
      </c>
      <c r="C32" s="34">
        <v>42.045454550000002</v>
      </c>
      <c r="D32" s="34">
        <v>40.909090910000003</v>
      </c>
      <c r="E32" s="35"/>
      <c r="F32" s="35">
        <v>50</v>
      </c>
      <c r="G32" s="35">
        <f t="shared" si="0"/>
        <v>49.418604649999999</v>
      </c>
      <c r="H32" s="35">
        <f t="shared" si="1"/>
        <v>61.531007750000001</v>
      </c>
      <c r="I32" s="35">
        <f t="shared" si="2"/>
        <v>30.038759689999999</v>
      </c>
      <c r="J32" s="30"/>
      <c r="L32" s="39">
        <v>0.94961240309999995</v>
      </c>
      <c r="M32" s="40">
        <v>1.191860465</v>
      </c>
      <c r="N32" s="40">
        <v>0.79457364340000003</v>
      </c>
    </row>
    <row r="33" spans="1:14" ht="15.75" customHeight="1" x14ac:dyDescent="0.25">
      <c r="A33" s="33"/>
      <c r="B33" s="34">
        <v>48.863636370000002</v>
      </c>
      <c r="C33" s="34">
        <v>51.13636365</v>
      </c>
      <c r="D33" s="34">
        <v>33.522727279999998</v>
      </c>
      <c r="E33" s="35"/>
      <c r="F33" s="35">
        <v>50</v>
      </c>
      <c r="G33" s="35">
        <f t="shared" si="0"/>
        <v>57.170542650000002</v>
      </c>
      <c r="H33" s="35">
        <f t="shared" si="1"/>
        <v>35.368217055000002</v>
      </c>
      <c r="I33" s="35">
        <f t="shared" si="2"/>
        <v>46.027131784999995</v>
      </c>
      <c r="J33" s="30"/>
      <c r="L33" s="39">
        <v>0.98837209299999995</v>
      </c>
      <c r="M33" s="40">
        <v>1.230620155</v>
      </c>
      <c r="N33" s="40">
        <v>0.6007751938</v>
      </c>
    </row>
    <row r="34" spans="1:14" ht="15.75" customHeight="1" x14ac:dyDescent="0.25">
      <c r="A34" s="33"/>
      <c r="B34" s="34">
        <v>20.454545459999999</v>
      </c>
      <c r="C34" s="34">
        <v>40.340909089999997</v>
      </c>
      <c r="D34" s="34">
        <v>39.772727279999998</v>
      </c>
      <c r="E34" s="35"/>
      <c r="F34" s="35">
        <v>50</v>
      </c>
      <c r="G34" s="35">
        <f t="shared" si="0"/>
        <v>67.829457349999998</v>
      </c>
      <c r="H34" s="35">
        <f t="shared" si="1"/>
        <v>38.75968992</v>
      </c>
      <c r="I34" s="35">
        <f t="shared" si="2"/>
        <v>64.437984499999999</v>
      </c>
      <c r="J34" s="30"/>
      <c r="L34" s="39">
        <v>1.143410853</v>
      </c>
      <c r="M34" s="40">
        <v>0.70736434110000002</v>
      </c>
      <c r="N34" s="40">
        <v>0.92054263569999994</v>
      </c>
    </row>
    <row r="35" spans="1:14" ht="15.75" customHeight="1" x14ac:dyDescent="0.25">
      <c r="A35" s="33"/>
      <c r="B35" s="34">
        <v>37.5</v>
      </c>
      <c r="C35" s="34">
        <v>40.340909089999997</v>
      </c>
      <c r="D35" s="34">
        <v>39.772727279999998</v>
      </c>
      <c r="E35" s="35"/>
      <c r="F35" s="35"/>
      <c r="G35" s="35"/>
      <c r="H35" s="35"/>
      <c r="I35" s="35"/>
      <c r="J35" s="30"/>
      <c r="L35" s="39">
        <v>1.356589147</v>
      </c>
      <c r="M35" s="40">
        <v>0.77519379840000002</v>
      </c>
      <c r="N35" s="40">
        <v>1.28875969</v>
      </c>
    </row>
    <row r="36" spans="1:14" ht="15.75" customHeight="1" x14ac:dyDescent="0.2"/>
    <row r="37" spans="1:14" ht="15.75" customHeight="1" x14ac:dyDescent="0.25">
      <c r="B37" s="551" t="s">
        <v>0</v>
      </c>
      <c r="C37" s="552"/>
      <c r="D37" s="552"/>
      <c r="E37" s="552"/>
      <c r="F37" s="552"/>
      <c r="G37" s="552"/>
      <c r="H37" s="552"/>
      <c r="I37" s="552"/>
    </row>
    <row r="38" spans="1:14" ht="15.75" customHeight="1" x14ac:dyDescent="0.25">
      <c r="B38" s="41"/>
      <c r="C38" s="42" t="s">
        <v>21</v>
      </c>
      <c r="D38" s="32" t="s">
        <v>17</v>
      </c>
      <c r="E38" s="32" t="s">
        <v>18</v>
      </c>
      <c r="F38" s="32" t="s">
        <v>19</v>
      </c>
      <c r="G38" s="32" t="s">
        <v>17</v>
      </c>
      <c r="H38" s="32" t="s">
        <v>18</v>
      </c>
      <c r="I38" s="32" t="s">
        <v>19</v>
      </c>
      <c r="L38" s="43" t="s">
        <v>22</v>
      </c>
    </row>
    <row r="39" spans="1:14" ht="15.75" customHeight="1" x14ac:dyDescent="0.25">
      <c r="B39" s="44" t="s">
        <v>1</v>
      </c>
      <c r="C39" s="45">
        <v>0</v>
      </c>
      <c r="D39" s="46">
        <v>0.94318181820000002</v>
      </c>
      <c r="E39" s="37">
        <v>0.76136363640000004</v>
      </c>
      <c r="F39" s="37">
        <v>1.181818182</v>
      </c>
      <c r="G39" s="14">
        <v>47.159090910000003</v>
      </c>
      <c r="H39" s="14">
        <v>38.06818182</v>
      </c>
      <c r="I39" s="14">
        <v>59.090909099999998</v>
      </c>
      <c r="L39" s="31" t="s">
        <v>17</v>
      </c>
      <c r="M39" s="32" t="s">
        <v>18</v>
      </c>
      <c r="N39" s="32" t="s">
        <v>19</v>
      </c>
    </row>
    <row r="40" spans="1:14" ht="15.75" customHeight="1" x14ac:dyDescent="0.25">
      <c r="B40" s="44" t="s">
        <v>1</v>
      </c>
      <c r="C40" s="45">
        <v>0</v>
      </c>
      <c r="D40" s="46">
        <v>0.70454545449999995</v>
      </c>
      <c r="E40" s="37">
        <v>0.96590909089999999</v>
      </c>
      <c r="F40" s="37">
        <v>1.1704545449999999</v>
      </c>
      <c r="G40" s="14">
        <v>35.227272730000003</v>
      </c>
      <c r="H40" s="14">
        <v>48.295454550000002</v>
      </c>
      <c r="I40" s="14">
        <v>58.522727250000003</v>
      </c>
      <c r="L40" s="14">
        <v>70.251937999999996</v>
      </c>
      <c r="M40" s="14">
        <v>108.04263570000001</v>
      </c>
      <c r="N40" s="14">
        <v>96.414728699999998</v>
      </c>
    </row>
    <row r="41" spans="1:14" ht="15.75" customHeight="1" x14ac:dyDescent="0.25">
      <c r="B41" s="44" t="s">
        <v>1</v>
      </c>
      <c r="C41" s="45">
        <v>0</v>
      </c>
      <c r="D41" s="46">
        <v>0.97727272730000003</v>
      </c>
      <c r="E41" s="37">
        <v>0.82954545449999995</v>
      </c>
      <c r="F41" s="37">
        <v>0.86363636359999996</v>
      </c>
      <c r="G41" s="14">
        <v>48.863636370000002</v>
      </c>
      <c r="H41" s="14">
        <v>41.477272730000003</v>
      </c>
      <c r="I41" s="14">
        <v>43.18181818</v>
      </c>
      <c r="L41" s="14">
        <v>83.817829450000005</v>
      </c>
      <c r="M41" s="14">
        <v>84.302325600000003</v>
      </c>
      <c r="N41" s="14">
        <v>97.868217049999998</v>
      </c>
    </row>
    <row r="42" spans="1:14" ht="15.75" customHeight="1" x14ac:dyDescent="0.25">
      <c r="B42" s="44" t="s">
        <v>1</v>
      </c>
      <c r="C42" s="45">
        <v>0</v>
      </c>
      <c r="D42" s="46">
        <v>1.113636364</v>
      </c>
      <c r="E42" s="37">
        <v>1.0340909089999999</v>
      </c>
      <c r="F42" s="37">
        <v>1.2840909089999999</v>
      </c>
      <c r="G42" s="47">
        <v>55.681818200000002</v>
      </c>
      <c r="H42" s="47">
        <v>51.704545449999998</v>
      </c>
      <c r="I42" s="47">
        <v>64.204545449999998</v>
      </c>
      <c r="L42" s="14">
        <v>80.910852700000007</v>
      </c>
      <c r="M42" s="14">
        <v>94.9612403</v>
      </c>
      <c r="N42" s="14">
        <v>77.519379850000007</v>
      </c>
    </row>
    <row r="43" spans="1:14" ht="15.75" customHeight="1" x14ac:dyDescent="0.2">
      <c r="B43" s="48"/>
      <c r="C43" s="37">
        <v>0</v>
      </c>
      <c r="D43" s="37">
        <f>AVERAGE(D39:D42)</f>
        <v>0.934659091</v>
      </c>
      <c r="E43" s="37">
        <v>0.89772727269999997</v>
      </c>
      <c r="F43" s="37">
        <v>1.125</v>
      </c>
      <c r="G43" s="37">
        <v>46.732954550000002</v>
      </c>
      <c r="H43" s="37">
        <v>44.886363639999999</v>
      </c>
      <c r="I43" s="37">
        <v>56.25</v>
      </c>
      <c r="L43" s="14">
        <v>87.693798450000003</v>
      </c>
      <c r="M43" s="14">
        <v>83.333333350000004</v>
      </c>
      <c r="N43" s="14">
        <v>84.786821700000004</v>
      </c>
    </row>
    <row r="44" spans="1:14" ht="15.75" customHeight="1" x14ac:dyDescent="0.2">
      <c r="B44" s="48" t="s">
        <v>23</v>
      </c>
      <c r="C44" s="49"/>
      <c r="D44" s="37">
        <v>0.17017021760000001</v>
      </c>
      <c r="E44" s="37">
        <v>0.1244823994</v>
      </c>
      <c r="F44" s="37">
        <v>0.18158128500000001</v>
      </c>
      <c r="G44" s="37">
        <v>8.5085108779999992</v>
      </c>
      <c r="H44" s="37">
        <v>6.2241199700000003</v>
      </c>
      <c r="I44" s="37">
        <v>9.0790642520000002</v>
      </c>
      <c r="L44" s="14">
        <v>80.668604650000006</v>
      </c>
      <c r="M44" s="14">
        <v>92.659883730000004</v>
      </c>
      <c r="N44" s="14">
        <v>89.147286829999999</v>
      </c>
    </row>
    <row r="45" spans="1:14" ht="15.75" customHeight="1" x14ac:dyDescent="0.2">
      <c r="B45" s="48" t="s">
        <v>24</v>
      </c>
      <c r="C45" s="49"/>
      <c r="D45" s="37">
        <v>8.5085108780000002E-2</v>
      </c>
      <c r="E45" s="37">
        <v>6.2241199699999999E-2</v>
      </c>
      <c r="F45" s="37">
        <v>9.0790642520000006E-2</v>
      </c>
      <c r="G45" s="37">
        <v>4.2542554389999996</v>
      </c>
      <c r="H45" s="37">
        <v>3.1120599850000001</v>
      </c>
      <c r="I45" s="37">
        <v>4.5395321260000001</v>
      </c>
      <c r="L45" s="14">
        <v>7.4796745250000001</v>
      </c>
      <c r="M45" s="14">
        <v>11.52907366</v>
      </c>
      <c r="N45" s="14">
        <v>9.7141170829999997</v>
      </c>
    </row>
    <row r="46" spans="1:14" ht="15.75" customHeight="1" x14ac:dyDescent="0.2">
      <c r="B46" s="1"/>
      <c r="C46" s="1"/>
      <c r="D46" s="1"/>
      <c r="E46" s="1"/>
      <c r="F46" s="1"/>
      <c r="G46" s="1"/>
      <c r="H46" s="1"/>
      <c r="I46" s="1"/>
      <c r="L46" s="14">
        <v>3.739837262</v>
      </c>
      <c r="M46" s="14">
        <v>5.7645368320000001</v>
      </c>
      <c r="N46" s="14">
        <v>4.8570585419999999</v>
      </c>
    </row>
    <row r="47" spans="1:14" ht="15.75" customHeight="1" x14ac:dyDescent="0.2">
      <c r="B47" s="1"/>
      <c r="C47" s="1"/>
      <c r="D47" s="1"/>
      <c r="E47" s="1"/>
      <c r="F47" s="1"/>
      <c r="G47" s="1"/>
      <c r="H47" s="1"/>
      <c r="I47" s="1"/>
      <c r="L47" s="1"/>
      <c r="M47" s="1"/>
      <c r="N47" s="1"/>
    </row>
    <row r="48" spans="1:14" ht="15.75" customHeight="1" x14ac:dyDescent="0.2">
      <c r="B48" s="1"/>
      <c r="C48" s="1"/>
      <c r="D48" s="1"/>
      <c r="E48" s="1"/>
      <c r="F48" s="1"/>
      <c r="G48" s="1"/>
      <c r="H48" s="1"/>
      <c r="I48" s="1"/>
      <c r="L48" s="1"/>
      <c r="M48" s="1"/>
      <c r="N48" s="1"/>
    </row>
    <row r="49" spans="2:14" ht="15.75" customHeight="1" x14ac:dyDescent="0.25">
      <c r="B49" s="10" t="s">
        <v>25</v>
      </c>
      <c r="C49" s="45">
        <v>0</v>
      </c>
      <c r="D49" s="50">
        <v>0.75</v>
      </c>
      <c r="E49" s="50">
        <v>0.84090909089999999</v>
      </c>
      <c r="F49" s="50">
        <v>0.81818181820000002</v>
      </c>
      <c r="G49" s="14">
        <v>37.5</v>
      </c>
      <c r="H49" s="14">
        <v>42.045454550000002</v>
      </c>
      <c r="I49" s="14">
        <v>40.909090910000003</v>
      </c>
      <c r="L49" s="1"/>
      <c r="M49" s="1"/>
      <c r="N49" s="1"/>
    </row>
    <row r="50" spans="2:14" ht="15.75" customHeight="1" x14ac:dyDescent="0.25">
      <c r="B50" s="10" t="s">
        <v>25</v>
      </c>
      <c r="C50" s="45">
        <v>0</v>
      </c>
      <c r="D50" s="50">
        <v>0.97727272730000003</v>
      </c>
      <c r="E50" s="50">
        <v>1.0227272730000001</v>
      </c>
      <c r="F50" s="50">
        <v>0.67045454550000005</v>
      </c>
      <c r="G50" s="14">
        <v>48.863636370000002</v>
      </c>
      <c r="H50" s="14">
        <v>51.13636365</v>
      </c>
      <c r="I50" s="14">
        <v>33.522727279999998</v>
      </c>
      <c r="L50" s="1"/>
      <c r="M50" s="1"/>
      <c r="N50" s="1"/>
    </row>
    <row r="51" spans="2:14" ht="15.75" customHeight="1" x14ac:dyDescent="0.25">
      <c r="B51" s="10" t="s">
        <v>25</v>
      </c>
      <c r="C51" s="45">
        <v>0</v>
      </c>
      <c r="D51" s="50">
        <v>0.40909090910000001</v>
      </c>
      <c r="E51" s="50">
        <v>0.80681818179999998</v>
      </c>
      <c r="F51" s="50">
        <v>0.79545454550000005</v>
      </c>
      <c r="G51" s="14">
        <v>20.454545459999999</v>
      </c>
      <c r="H51" s="14">
        <v>40.340909089999997</v>
      </c>
      <c r="I51" s="14">
        <v>39.772727279999998</v>
      </c>
      <c r="L51" s="1"/>
      <c r="M51" s="1"/>
      <c r="N51" s="1"/>
    </row>
    <row r="52" spans="2:14" ht="15.75" customHeight="1" x14ac:dyDescent="0.25">
      <c r="B52" s="10" t="s">
        <v>25</v>
      </c>
      <c r="C52" s="51">
        <v>0</v>
      </c>
      <c r="D52" s="50">
        <v>0.75</v>
      </c>
      <c r="E52" s="50">
        <v>0.80681818179999998</v>
      </c>
      <c r="F52" s="50">
        <v>0.79545454550000005</v>
      </c>
      <c r="G52" s="14">
        <v>37.5</v>
      </c>
      <c r="H52" s="14">
        <v>40.340909089999997</v>
      </c>
      <c r="I52" s="14">
        <v>39.772727279999998</v>
      </c>
      <c r="L52" s="14">
        <v>47.480620160000001</v>
      </c>
      <c r="M52" s="14">
        <v>59.593023250000002</v>
      </c>
      <c r="N52" s="14">
        <v>39.728682169999999</v>
      </c>
    </row>
    <row r="53" spans="2:14" ht="15.75" customHeight="1" x14ac:dyDescent="0.2">
      <c r="B53" s="1" t="s">
        <v>26</v>
      </c>
      <c r="C53" s="1"/>
      <c r="D53" s="14">
        <v>0.72159090910000001</v>
      </c>
      <c r="E53" s="14">
        <v>0.86931818189999999</v>
      </c>
      <c r="F53" s="14">
        <v>0.76988636369999996</v>
      </c>
      <c r="G53" s="14">
        <v>36.079545459999999</v>
      </c>
      <c r="H53" s="14">
        <v>43.465909089999997</v>
      </c>
      <c r="I53" s="14">
        <v>38.49431818</v>
      </c>
      <c r="L53" s="14">
        <v>49.418604649999999</v>
      </c>
      <c r="M53" s="14">
        <v>61.531007750000001</v>
      </c>
      <c r="N53" s="14">
        <v>30.038759689999999</v>
      </c>
    </row>
    <row r="54" spans="2:14" ht="15.75" customHeight="1" x14ac:dyDescent="0.2">
      <c r="B54" s="1" t="s">
        <v>27</v>
      </c>
      <c r="C54" s="1"/>
      <c r="D54" s="14">
        <v>0.23426736510000001</v>
      </c>
      <c r="E54" s="14">
        <v>0.1035276545</v>
      </c>
      <c r="F54" s="14">
        <v>6.7148098099999998E-2</v>
      </c>
      <c r="G54" s="14">
        <v>11.71336825</v>
      </c>
      <c r="H54" s="14">
        <v>5.1763827229999997</v>
      </c>
      <c r="I54" s="14">
        <v>3.3574049050000001</v>
      </c>
      <c r="L54" s="14">
        <v>57.170542650000002</v>
      </c>
      <c r="M54" s="14">
        <v>35.368217059999999</v>
      </c>
      <c r="N54" s="14">
        <v>46.027131789999999</v>
      </c>
    </row>
    <row r="55" spans="2:14" ht="15.75" customHeight="1" x14ac:dyDescent="0.2">
      <c r="B55" s="1" t="s">
        <v>24</v>
      </c>
      <c r="C55" s="1"/>
      <c r="D55" s="14">
        <v>0.1171336825</v>
      </c>
      <c r="E55" s="14">
        <v>5.1763827229999997E-2</v>
      </c>
      <c r="F55" s="14">
        <v>3.3574049049999999E-2</v>
      </c>
      <c r="G55" s="14">
        <v>5.8566841270000003</v>
      </c>
      <c r="H55" s="14">
        <v>2.5881913609999998</v>
      </c>
      <c r="I55" s="14">
        <v>1.6787024530000001</v>
      </c>
      <c r="L55" s="14">
        <v>67.829457349999998</v>
      </c>
      <c r="M55" s="14">
        <v>38.75968992</v>
      </c>
      <c r="N55" s="14">
        <v>64.437984499999999</v>
      </c>
    </row>
    <row r="56" spans="2:14" ht="15.75" customHeight="1" x14ac:dyDescent="0.2">
      <c r="B56" s="1"/>
      <c r="C56" s="1"/>
      <c r="D56" s="1"/>
      <c r="E56" s="1"/>
      <c r="F56" s="1"/>
      <c r="G56" s="1"/>
      <c r="H56" s="1"/>
      <c r="I56" s="1"/>
      <c r="L56" s="14">
        <v>55.474806200000003</v>
      </c>
      <c r="M56" s="14">
        <v>48.812984489999998</v>
      </c>
      <c r="N56" s="14">
        <v>45.058139539999999</v>
      </c>
    </row>
    <row r="57" spans="2:14" ht="15.75" customHeight="1" x14ac:dyDescent="0.2">
      <c r="L57" s="14">
        <v>9.2393635219999997</v>
      </c>
      <c r="M57" s="14">
        <v>13.66001286</v>
      </c>
      <c r="N57" s="14">
        <v>14.49715172</v>
      </c>
    </row>
    <row r="58" spans="2:14" ht="15.75" customHeight="1" x14ac:dyDescent="0.2">
      <c r="L58" s="14">
        <v>4.6196817609999998</v>
      </c>
      <c r="M58" s="14">
        <v>6.8300064320000002</v>
      </c>
      <c r="N58" s="14">
        <v>7.2485758579999997</v>
      </c>
    </row>
    <row r="59" spans="2:14" ht="15.75" customHeight="1" x14ac:dyDescent="0.2">
      <c r="L59" s="1"/>
      <c r="M59" s="1"/>
      <c r="N59" s="1"/>
    </row>
    <row r="60" spans="2:14" ht="15.75" customHeight="1" x14ac:dyDescent="0.2"/>
    <row r="61" spans="2:14" ht="15.75" customHeight="1" x14ac:dyDescent="0.2"/>
    <row r="62" spans="2:14" ht="15.75" customHeight="1" x14ac:dyDescent="0.2"/>
    <row r="63" spans="2:14" ht="15.75" customHeight="1" x14ac:dyDescent="0.2"/>
    <row r="64" spans="2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24:D24"/>
    <mergeCell ref="G24:I24"/>
    <mergeCell ref="B37:I37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O843"/>
  <sheetViews>
    <sheetView topLeftCell="J33" workbookViewId="0">
      <selection sqref="A1:X43"/>
    </sheetView>
  </sheetViews>
  <sheetFormatPr defaultColWidth="12.625" defaultRowHeight="15" customHeight="1" x14ac:dyDescent="0.2"/>
  <cols>
    <col min="1" max="1" width="2.5" customWidth="1"/>
    <col min="2" max="2" width="7.5" customWidth="1"/>
    <col min="3" max="3" width="7" customWidth="1"/>
    <col min="4" max="4" width="3" customWidth="1"/>
    <col min="5" max="6" width="5.125" customWidth="1"/>
    <col min="7" max="7" width="6.125" customWidth="1"/>
    <col min="8" max="8" width="7" customWidth="1"/>
    <col min="9" max="10" width="7.5" customWidth="1"/>
    <col min="11" max="11" width="3.375" customWidth="1"/>
    <col min="12" max="15" width="4.25" customWidth="1"/>
    <col min="16" max="16" width="6.5" customWidth="1"/>
    <col min="17" max="17" width="7" customWidth="1"/>
    <col min="18" max="18" width="4.25" customWidth="1"/>
    <col min="19" max="19" width="7.625" customWidth="1"/>
    <col min="20" max="20" width="9.375" customWidth="1"/>
    <col min="21" max="21" width="6.5" customWidth="1"/>
    <col min="22" max="22" width="6.625" customWidth="1"/>
    <col min="23" max="23" width="8.375" customWidth="1"/>
    <col min="24" max="24" width="7.5" customWidth="1"/>
    <col min="26" max="26" width="5" customWidth="1"/>
    <col min="27" max="30" width="5.125" customWidth="1"/>
    <col min="31" max="31" width="7.625" customWidth="1"/>
    <col min="32" max="32" width="6.5" customWidth="1"/>
    <col min="33" max="33" width="7" customWidth="1"/>
    <col min="34" max="34" width="4.25" customWidth="1"/>
    <col min="35" max="35" width="7.625" customWidth="1"/>
    <col min="36" max="36" width="9.375" customWidth="1"/>
    <col min="37" max="37" width="6.5" customWidth="1"/>
    <col min="38" max="38" width="6.625" customWidth="1"/>
    <col min="39" max="39" width="8.375" customWidth="1"/>
    <col min="40" max="40" width="6.125" customWidth="1"/>
  </cols>
  <sheetData>
    <row r="1" spans="1:41" x14ac:dyDescent="0.25">
      <c r="A1" t="s">
        <v>341</v>
      </c>
      <c r="B1" s="52" t="s">
        <v>28</v>
      </c>
      <c r="C1" s="52" t="s">
        <v>29</v>
      </c>
      <c r="D1" s="52" t="s">
        <v>30</v>
      </c>
      <c r="E1" s="52" t="s">
        <v>31</v>
      </c>
      <c r="F1" s="52" t="s">
        <v>32</v>
      </c>
      <c r="G1" s="53" t="s">
        <v>33</v>
      </c>
      <c r="H1" s="54" t="s">
        <v>34</v>
      </c>
      <c r="I1" s="52" t="s">
        <v>35</v>
      </c>
      <c r="J1" s="52" t="s">
        <v>36</v>
      </c>
      <c r="K1" s="55" t="s">
        <v>37</v>
      </c>
      <c r="L1" s="56" t="s">
        <v>38</v>
      </c>
      <c r="M1" s="56" t="s">
        <v>39</v>
      </c>
      <c r="N1" s="56" t="s">
        <v>40</v>
      </c>
      <c r="O1" s="56" t="s">
        <v>41</v>
      </c>
      <c r="P1" s="55" t="s">
        <v>42</v>
      </c>
      <c r="Q1" s="55" t="s">
        <v>43</v>
      </c>
      <c r="R1" s="55" t="s">
        <v>44</v>
      </c>
      <c r="S1" s="57" t="s">
        <v>45</v>
      </c>
      <c r="T1" s="57" t="s">
        <v>46</v>
      </c>
      <c r="U1" s="57" t="s">
        <v>47</v>
      </c>
      <c r="V1" s="57" t="s">
        <v>48</v>
      </c>
      <c r="W1" s="57" t="s">
        <v>49</v>
      </c>
      <c r="X1" s="58" t="s">
        <v>50</v>
      </c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</row>
    <row r="2" spans="1:41" x14ac:dyDescent="0.25">
      <c r="A2">
        <v>1</v>
      </c>
      <c r="B2" s="60" t="s">
        <v>51</v>
      </c>
      <c r="C2" s="60">
        <v>0</v>
      </c>
      <c r="D2" s="60">
        <v>0</v>
      </c>
      <c r="E2" s="60">
        <v>0</v>
      </c>
      <c r="F2" s="60">
        <v>0</v>
      </c>
      <c r="G2" s="61">
        <v>5.5172413793103452</v>
      </c>
      <c r="H2" s="61">
        <v>19.65217391304348</v>
      </c>
      <c r="I2" s="62" t="s">
        <v>52</v>
      </c>
      <c r="J2" s="62" t="s">
        <v>52</v>
      </c>
      <c r="K2" s="63">
        <v>2.6</v>
      </c>
      <c r="L2" s="64">
        <v>50</v>
      </c>
      <c r="M2" s="64">
        <v>44</v>
      </c>
      <c r="N2" s="64">
        <v>37</v>
      </c>
      <c r="O2" s="64">
        <v>30</v>
      </c>
      <c r="P2" s="65"/>
      <c r="Q2" s="65"/>
      <c r="R2" s="65"/>
      <c r="S2" s="64">
        <v>103</v>
      </c>
      <c r="T2" s="62" t="s">
        <v>52</v>
      </c>
      <c r="U2" s="66"/>
      <c r="V2" s="66">
        <v>410</v>
      </c>
      <c r="W2" s="62" t="s">
        <v>52</v>
      </c>
      <c r="X2" s="67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</row>
    <row r="3" spans="1:41" x14ac:dyDescent="0.25">
      <c r="A3">
        <v>2</v>
      </c>
      <c r="B3" s="69" t="s">
        <v>51</v>
      </c>
      <c r="C3" s="69">
        <v>0</v>
      </c>
      <c r="D3" s="69">
        <v>0</v>
      </c>
      <c r="E3" s="69">
        <v>0</v>
      </c>
      <c r="F3" s="69">
        <v>0</v>
      </c>
      <c r="G3" s="70">
        <v>4.6394984326018811</v>
      </c>
      <c r="H3" s="70">
        <v>20.086956521739133</v>
      </c>
      <c r="I3" s="71" t="s">
        <v>52</v>
      </c>
      <c r="J3" s="71" t="s">
        <v>52</v>
      </c>
      <c r="K3" s="72"/>
      <c r="L3" s="73"/>
      <c r="M3" s="73"/>
      <c r="N3" s="73"/>
      <c r="O3" s="72"/>
      <c r="P3" s="73"/>
      <c r="Q3" s="73"/>
      <c r="R3" s="73"/>
      <c r="S3" s="73"/>
      <c r="T3" s="71" t="s">
        <v>52</v>
      </c>
      <c r="U3" s="74"/>
      <c r="V3" s="74"/>
      <c r="W3" s="71" t="s">
        <v>52</v>
      </c>
      <c r="X3" s="75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</row>
    <row r="4" spans="1:41" x14ac:dyDescent="0.25">
      <c r="A4">
        <v>3</v>
      </c>
      <c r="B4" s="69" t="s">
        <v>51</v>
      </c>
      <c r="C4" s="69">
        <v>0</v>
      </c>
      <c r="D4" s="69">
        <v>0</v>
      </c>
      <c r="E4" s="69">
        <v>0</v>
      </c>
      <c r="F4" s="69">
        <v>0</v>
      </c>
      <c r="G4" s="70">
        <v>4.8902821316614427</v>
      </c>
      <c r="H4" s="70">
        <v>22</v>
      </c>
      <c r="I4" s="71" t="s">
        <v>52</v>
      </c>
      <c r="J4" s="71" t="s">
        <v>52</v>
      </c>
      <c r="K4" s="72"/>
      <c r="L4" s="73"/>
      <c r="M4" s="73"/>
      <c r="N4" s="73"/>
      <c r="O4" s="72"/>
      <c r="P4" s="73"/>
      <c r="Q4" s="73"/>
      <c r="R4" s="73"/>
      <c r="S4" s="73"/>
      <c r="T4" s="71" t="s">
        <v>52</v>
      </c>
      <c r="U4" s="74"/>
      <c r="V4" s="74"/>
      <c r="W4" s="71" t="s">
        <v>52</v>
      </c>
      <c r="X4" s="75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</row>
    <row r="5" spans="1:41" x14ac:dyDescent="0.25">
      <c r="A5">
        <v>4</v>
      </c>
      <c r="B5" s="76" t="s">
        <v>51</v>
      </c>
      <c r="C5" s="76">
        <v>0</v>
      </c>
      <c r="D5" s="76">
        <v>1</v>
      </c>
      <c r="E5" s="76">
        <v>0</v>
      </c>
      <c r="F5" s="76">
        <v>0</v>
      </c>
      <c r="G5" s="77">
        <v>3.0721003134796243</v>
      </c>
      <c r="H5" s="77">
        <v>22.260869565217391</v>
      </c>
      <c r="I5" s="78" t="s">
        <v>52</v>
      </c>
      <c r="J5" s="78" t="s">
        <v>52</v>
      </c>
      <c r="K5" s="79">
        <v>2.6</v>
      </c>
      <c r="L5" s="80">
        <v>99</v>
      </c>
      <c r="M5" s="80">
        <v>50</v>
      </c>
      <c r="N5" s="80">
        <v>30</v>
      </c>
      <c r="O5" s="80">
        <v>30</v>
      </c>
      <c r="P5" s="81"/>
      <c r="Q5" s="81"/>
      <c r="R5" s="81"/>
      <c r="S5" s="80">
        <v>206</v>
      </c>
      <c r="T5" s="78" t="s">
        <v>52</v>
      </c>
      <c r="U5" s="82"/>
      <c r="V5" s="82">
        <v>430</v>
      </c>
      <c r="W5" s="78" t="s">
        <v>52</v>
      </c>
      <c r="X5" s="83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</row>
    <row r="6" spans="1:41" x14ac:dyDescent="0.25">
      <c r="A6">
        <v>5</v>
      </c>
      <c r="B6" s="76" t="s">
        <v>51</v>
      </c>
      <c r="C6" s="76">
        <v>0</v>
      </c>
      <c r="D6" s="76">
        <v>1</v>
      </c>
      <c r="E6" s="76">
        <v>0</v>
      </c>
      <c r="F6" s="76">
        <v>0</v>
      </c>
      <c r="G6" s="77">
        <v>5.6457680250783708</v>
      </c>
      <c r="H6" s="77">
        <v>23.608695652173914</v>
      </c>
      <c r="I6" s="78" t="s">
        <v>52</v>
      </c>
      <c r="J6" s="78" t="s">
        <v>52</v>
      </c>
      <c r="K6" s="80">
        <v>2.6</v>
      </c>
      <c r="L6" s="80">
        <v>97</v>
      </c>
      <c r="M6" s="80">
        <v>56</v>
      </c>
      <c r="N6" s="80">
        <v>25</v>
      </c>
      <c r="O6" s="80">
        <v>30</v>
      </c>
      <c r="P6" s="81"/>
      <c r="Q6" s="81"/>
      <c r="R6" s="81"/>
      <c r="S6" s="80">
        <v>203</v>
      </c>
      <c r="T6" s="78" t="s">
        <v>52</v>
      </c>
      <c r="U6" s="82"/>
      <c r="V6" s="82">
        <v>410</v>
      </c>
      <c r="W6" s="78" t="s">
        <v>52</v>
      </c>
      <c r="X6" s="83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</row>
    <row r="7" spans="1:41" x14ac:dyDescent="0.25">
      <c r="A7">
        <v>6</v>
      </c>
      <c r="B7" s="76" t="s">
        <v>51</v>
      </c>
      <c r="C7" s="76">
        <v>0</v>
      </c>
      <c r="D7" s="76">
        <v>1</v>
      </c>
      <c r="E7" s="76">
        <v>0</v>
      </c>
      <c r="F7" s="76">
        <v>0</v>
      </c>
      <c r="G7" s="77">
        <v>4.7021943573667713</v>
      </c>
      <c r="H7" s="77">
        <v>25.913043478260867</v>
      </c>
      <c r="I7" s="78" t="s">
        <v>52</v>
      </c>
      <c r="J7" s="78" t="s">
        <v>52</v>
      </c>
      <c r="K7" s="80">
        <v>2.6</v>
      </c>
      <c r="L7" s="80">
        <v>100</v>
      </c>
      <c r="M7" s="80">
        <v>42</v>
      </c>
      <c r="N7" s="80">
        <v>32</v>
      </c>
      <c r="O7" s="80">
        <v>30</v>
      </c>
      <c r="P7" s="81"/>
      <c r="Q7" s="81"/>
      <c r="R7" s="81"/>
      <c r="S7" s="80">
        <v>184</v>
      </c>
      <c r="T7" s="78" t="s">
        <v>52</v>
      </c>
      <c r="U7" s="82"/>
      <c r="V7" s="82">
        <v>430</v>
      </c>
      <c r="W7" s="78" t="s">
        <v>52</v>
      </c>
      <c r="X7" s="83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</row>
    <row r="8" spans="1:41" x14ac:dyDescent="0.25">
      <c r="A8">
        <v>7</v>
      </c>
      <c r="B8" s="85" t="s">
        <v>51</v>
      </c>
      <c r="C8" s="85">
        <v>0</v>
      </c>
      <c r="D8" s="85">
        <v>2</v>
      </c>
      <c r="E8" s="85">
        <v>0</v>
      </c>
      <c r="F8" s="85">
        <v>0</v>
      </c>
      <c r="G8" s="86">
        <v>3.8557993730407527</v>
      </c>
      <c r="H8" s="86">
        <v>22</v>
      </c>
      <c r="I8" s="87" t="s">
        <v>52</v>
      </c>
      <c r="J8" s="85" t="s">
        <v>52</v>
      </c>
      <c r="K8" s="88">
        <v>2.5</v>
      </c>
      <c r="L8" s="89">
        <v>93</v>
      </c>
      <c r="M8" s="89">
        <v>57</v>
      </c>
      <c r="N8" s="89">
        <v>32</v>
      </c>
      <c r="O8" s="89">
        <v>30</v>
      </c>
      <c r="P8" s="90"/>
      <c r="Q8" s="90"/>
      <c r="R8" s="90"/>
      <c r="S8" s="89">
        <v>278</v>
      </c>
      <c r="T8" s="91" t="s">
        <v>52</v>
      </c>
      <c r="U8" s="92"/>
      <c r="V8" s="92">
        <v>410</v>
      </c>
      <c r="W8" s="91" t="s">
        <v>52</v>
      </c>
      <c r="X8" s="93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</row>
    <row r="9" spans="1:41" x14ac:dyDescent="0.25">
      <c r="A9">
        <v>8</v>
      </c>
      <c r="B9" s="85" t="s">
        <v>51</v>
      </c>
      <c r="C9" s="85">
        <v>0</v>
      </c>
      <c r="D9" s="85">
        <v>2</v>
      </c>
      <c r="E9" s="85">
        <v>0</v>
      </c>
      <c r="F9" s="85">
        <v>0</v>
      </c>
      <c r="G9" s="86">
        <v>4.3260188087774303</v>
      </c>
      <c r="H9" s="86">
        <v>22.869565217391305</v>
      </c>
      <c r="I9" s="87" t="s">
        <v>52</v>
      </c>
      <c r="J9" s="85" t="s">
        <v>52</v>
      </c>
      <c r="K9" s="89">
        <v>2.6</v>
      </c>
      <c r="L9" s="89">
        <v>97</v>
      </c>
      <c r="M9" s="89">
        <v>40</v>
      </c>
      <c r="N9" s="89">
        <v>29</v>
      </c>
      <c r="O9" s="89">
        <v>30</v>
      </c>
      <c r="P9" s="90"/>
      <c r="Q9" s="90"/>
      <c r="R9" s="90"/>
      <c r="S9" s="89">
        <v>269</v>
      </c>
      <c r="T9" s="91" t="s">
        <v>52</v>
      </c>
      <c r="U9" s="92"/>
      <c r="V9" s="92">
        <v>410</v>
      </c>
      <c r="W9" s="91" t="s">
        <v>52</v>
      </c>
      <c r="X9" s="93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</row>
    <row r="10" spans="1:41" ht="15.75" thickBot="1" x14ac:dyDescent="0.3">
      <c r="A10">
        <v>9</v>
      </c>
      <c r="B10" s="87" t="s">
        <v>51</v>
      </c>
      <c r="C10" s="87">
        <v>0</v>
      </c>
      <c r="D10" s="87">
        <v>2</v>
      </c>
      <c r="E10" s="87">
        <v>0</v>
      </c>
      <c r="F10" s="87">
        <v>0</v>
      </c>
      <c r="G10" s="95">
        <v>4.2946708463949852</v>
      </c>
      <c r="H10" s="95">
        <v>20.173913043478262</v>
      </c>
      <c r="I10" s="87" t="s">
        <v>52</v>
      </c>
      <c r="J10" s="87" t="s">
        <v>52</v>
      </c>
      <c r="K10" s="96">
        <v>2.6</v>
      </c>
      <c r="L10" s="96">
        <v>97</v>
      </c>
      <c r="M10" s="96">
        <v>46</v>
      </c>
      <c r="N10" s="96">
        <v>22</v>
      </c>
      <c r="O10" s="96">
        <v>30</v>
      </c>
      <c r="P10" s="97"/>
      <c r="Q10" s="97"/>
      <c r="R10" s="97"/>
      <c r="S10" s="96">
        <v>287</v>
      </c>
      <c r="T10" s="98" t="s">
        <v>52</v>
      </c>
      <c r="U10" s="99"/>
      <c r="V10" s="99">
        <v>420</v>
      </c>
      <c r="W10" s="98" t="s">
        <v>52</v>
      </c>
      <c r="X10" s="100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</row>
    <row r="11" spans="1:41" x14ac:dyDescent="0.25">
      <c r="A11">
        <v>10</v>
      </c>
      <c r="B11" s="101" t="s">
        <v>51</v>
      </c>
      <c r="C11" s="102">
        <v>1</v>
      </c>
      <c r="D11" s="102">
        <v>0</v>
      </c>
      <c r="E11" s="103">
        <v>95.35</v>
      </c>
      <c r="F11" s="103">
        <v>42.68</v>
      </c>
      <c r="G11" s="103">
        <v>4.2946708463949852</v>
      </c>
      <c r="H11" s="103">
        <v>20.956521739130434</v>
      </c>
      <c r="I11" s="104">
        <v>100</v>
      </c>
      <c r="J11" s="104">
        <v>62.7</v>
      </c>
      <c r="K11" s="105">
        <v>2.6</v>
      </c>
      <c r="L11" s="105">
        <v>53</v>
      </c>
      <c r="M11" s="105">
        <v>48</v>
      </c>
      <c r="N11" s="105">
        <v>29</v>
      </c>
      <c r="O11" s="105">
        <v>30</v>
      </c>
      <c r="P11" s="106"/>
      <c r="Q11" s="106"/>
      <c r="R11" s="106"/>
      <c r="S11" s="105">
        <v>99</v>
      </c>
      <c r="T11" s="533" t="s">
        <v>52</v>
      </c>
      <c r="U11" s="543"/>
      <c r="V11" s="538">
        <v>410</v>
      </c>
      <c r="W11" s="104" t="s">
        <v>52</v>
      </c>
      <c r="X11" s="107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</row>
    <row r="12" spans="1:41" x14ac:dyDescent="0.25">
      <c r="A12">
        <v>11</v>
      </c>
      <c r="B12" s="109" t="s">
        <v>51</v>
      </c>
      <c r="C12" s="110">
        <v>1</v>
      </c>
      <c r="D12" s="110">
        <v>0</v>
      </c>
      <c r="E12" s="111">
        <v>87.8</v>
      </c>
      <c r="F12" s="111">
        <v>58.59</v>
      </c>
      <c r="G12" s="111">
        <v>4.0125391849529786</v>
      </c>
      <c r="H12" s="111">
        <v>23.043478260869566</v>
      </c>
      <c r="I12" s="112">
        <v>168</v>
      </c>
      <c r="J12" s="112">
        <v>101</v>
      </c>
      <c r="K12" s="113">
        <v>2.7</v>
      </c>
      <c r="L12" s="113">
        <v>45</v>
      </c>
      <c r="M12" s="113">
        <v>42</v>
      </c>
      <c r="N12" s="113">
        <v>27</v>
      </c>
      <c r="O12" s="113">
        <v>30</v>
      </c>
      <c r="P12" s="114"/>
      <c r="Q12" s="114"/>
      <c r="R12" s="114"/>
      <c r="S12" s="113">
        <v>101</v>
      </c>
      <c r="T12" s="534" t="s">
        <v>52</v>
      </c>
      <c r="U12" s="544"/>
      <c r="V12" s="539">
        <v>450</v>
      </c>
      <c r="W12" s="112" t="s">
        <v>52</v>
      </c>
      <c r="X12" s="115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</row>
    <row r="13" spans="1:41" x14ac:dyDescent="0.25">
      <c r="A13">
        <v>12</v>
      </c>
      <c r="B13" s="109" t="s">
        <v>51</v>
      </c>
      <c r="C13" s="110">
        <v>1</v>
      </c>
      <c r="D13" s="110">
        <v>0</v>
      </c>
      <c r="E13" s="111">
        <v>90.25</v>
      </c>
      <c r="F13" s="111">
        <v>47.6</v>
      </c>
      <c r="G13" s="111"/>
      <c r="H13" s="111"/>
      <c r="I13" s="112">
        <v>154</v>
      </c>
      <c r="J13" s="112">
        <v>88.5</v>
      </c>
      <c r="K13" s="114"/>
      <c r="L13" s="114"/>
      <c r="M13" s="114"/>
      <c r="N13" s="114"/>
      <c r="O13" s="114"/>
      <c r="P13" s="114"/>
      <c r="Q13" s="114"/>
      <c r="R13" s="114"/>
      <c r="S13" s="114"/>
      <c r="T13" s="534" t="s">
        <v>52</v>
      </c>
      <c r="U13" s="544"/>
      <c r="V13" s="539"/>
      <c r="W13" s="112" t="s">
        <v>52</v>
      </c>
      <c r="X13" s="115"/>
      <c r="Y13" s="116" t="s">
        <v>53</v>
      </c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</row>
    <row r="14" spans="1:41" x14ac:dyDescent="0.25">
      <c r="A14">
        <v>13</v>
      </c>
      <c r="B14" s="117" t="s">
        <v>51</v>
      </c>
      <c r="C14" s="118">
        <v>1</v>
      </c>
      <c r="D14" s="118">
        <v>1</v>
      </c>
      <c r="E14" s="119">
        <v>82.93</v>
      </c>
      <c r="F14" s="119">
        <v>29.41</v>
      </c>
      <c r="G14" s="119">
        <v>10.501567398119123</v>
      </c>
      <c r="H14" s="119">
        <v>19.434782608695652</v>
      </c>
      <c r="I14" s="120">
        <v>184</v>
      </c>
      <c r="J14" s="120">
        <v>124.6</v>
      </c>
      <c r="K14" s="121">
        <v>2.4</v>
      </c>
      <c r="L14" s="121">
        <v>89</v>
      </c>
      <c r="M14" s="121">
        <v>63</v>
      </c>
      <c r="N14" s="121">
        <v>30</v>
      </c>
      <c r="O14" s="121">
        <v>15</v>
      </c>
      <c r="P14" s="122"/>
      <c r="Q14" s="122"/>
      <c r="R14" s="122"/>
      <c r="S14" s="121">
        <v>171</v>
      </c>
      <c r="T14" s="535" t="s">
        <v>52</v>
      </c>
      <c r="U14" s="545"/>
      <c r="V14" s="540">
        <v>400</v>
      </c>
      <c r="W14" s="120" t="s">
        <v>52</v>
      </c>
      <c r="X14" s="123"/>
      <c r="Y14" s="124" t="s">
        <v>54</v>
      </c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</row>
    <row r="15" spans="1:41" x14ac:dyDescent="0.25">
      <c r="A15">
        <v>14</v>
      </c>
      <c r="B15" s="117" t="s">
        <v>51</v>
      </c>
      <c r="C15" s="118">
        <v>1</v>
      </c>
      <c r="D15" s="118">
        <v>1</v>
      </c>
      <c r="E15" s="119">
        <v>86.84</v>
      </c>
      <c r="F15" s="119">
        <v>49.39</v>
      </c>
      <c r="G15" s="119">
        <v>3.949843260188088</v>
      </c>
      <c r="H15" s="119">
        <v>20.521739130434781</v>
      </c>
      <c r="I15" s="120">
        <v>468</v>
      </c>
      <c r="J15" s="120">
        <v>202</v>
      </c>
      <c r="K15" s="121">
        <v>2.5</v>
      </c>
      <c r="L15" s="121">
        <v>94</v>
      </c>
      <c r="M15" s="121">
        <v>61</v>
      </c>
      <c r="N15" s="121">
        <v>24</v>
      </c>
      <c r="O15" s="121">
        <v>30</v>
      </c>
      <c r="P15" s="122"/>
      <c r="Q15" s="122"/>
      <c r="R15" s="122"/>
      <c r="S15" s="121">
        <v>208</v>
      </c>
      <c r="T15" s="535" t="s">
        <v>52</v>
      </c>
      <c r="U15" s="545"/>
      <c r="V15" s="540">
        <v>410</v>
      </c>
      <c r="W15" s="120" t="s">
        <v>52</v>
      </c>
      <c r="X15" s="123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</row>
    <row r="16" spans="1:41" x14ac:dyDescent="0.25">
      <c r="A16">
        <v>15</v>
      </c>
      <c r="B16" s="117" t="s">
        <v>51</v>
      </c>
      <c r="C16" s="118">
        <v>1</v>
      </c>
      <c r="D16" s="118">
        <v>1</v>
      </c>
      <c r="E16" s="119">
        <v>81.39</v>
      </c>
      <c r="F16" s="119">
        <v>44.29</v>
      </c>
      <c r="G16" s="119">
        <v>2.7586206896551726</v>
      </c>
      <c r="H16" s="126"/>
      <c r="I16" s="120">
        <v>683</v>
      </c>
      <c r="J16" s="120">
        <v>133.4</v>
      </c>
      <c r="K16" s="121">
        <v>2.6</v>
      </c>
      <c r="L16" s="121">
        <v>58</v>
      </c>
      <c r="M16" s="121">
        <v>51</v>
      </c>
      <c r="N16" s="121">
        <v>38</v>
      </c>
      <c r="O16" s="121">
        <v>15</v>
      </c>
      <c r="P16" s="122"/>
      <c r="Q16" s="122"/>
      <c r="R16" s="122"/>
      <c r="S16" s="121">
        <v>94</v>
      </c>
      <c r="T16" s="535" t="s">
        <v>52</v>
      </c>
      <c r="U16" s="545"/>
      <c r="V16" s="540">
        <v>400</v>
      </c>
      <c r="W16" s="120" t="s">
        <v>52</v>
      </c>
      <c r="X16" s="123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</row>
    <row r="17" spans="1:41" x14ac:dyDescent="0.25">
      <c r="A17">
        <v>16</v>
      </c>
      <c r="B17" s="127" t="s">
        <v>51</v>
      </c>
      <c r="C17" s="128">
        <v>1</v>
      </c>
      <c r="D17" s="128">
        <v>2</v>
      </c>
      <c r="E17" s="129">
        <v>85</v>
      </c>
      <c r="F17" s="129">
        <v>35</v>
      </c>
      <c r="G17" s="129">
        <v>3.0094043887147337</v>
      </c>
      <c r="H17" s="129">
        <v>20.695652173913043</v>
      </c>
      <c r="I17" s="130">
        <v>12</v>
      </c>
      <c r="J17" s="130">
        <v>55.3</v>
      </c>
      <c r="K17" s="131">
        <v>2.4</v>
      </c>
      <c r="L17" s="131">
        <v>94</v>
      </c>
      <c r="M17" s="131">
        <v>57</v>
      </c>
      <c r="N17" s="131">
        <v>32</v>
      </c>
      <c r="O17" s="131">
        <v>30</v>
      </c>
      <c r="P17" s="132"/>
      <c r="Q17" s="132"/>
      <c r="R17" s="132"/>
      <c r="S17" s="131">
        <v>342</v>
      </c>
      <c r="T17" s="536" t="s">
        <v>52</v>
      </c>
      <c r="U17" s="546"/>
      <c r="V17" s="541">
        <v>390</v>
      </c>
      <c r="W17" s="130" t="s">
        <v>52</v>
      </c>
      <c r="X17" s="133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</row>
    <row r="18" spans="1:41" x14ac:dyDescent="0.25">
      <c r="A18">
        <v>17</v>
      </c>
      <c r="B18" s="127" t="s">
        <v>51</v>
      </c>
      <c r="C18" s="128">
        <v>1</v>
      </c>
      <c r="D18" s="128">
        <v>2</v>
      </c>
      <c r="E18" s="129">
        <v>92.86</v>
      </c>
      <c r="F18" s="129">
        <v>37.72</v>
      </c>
      <c r="G18" s="129">
        <v>3.6677115987460818</v>
      </c>
      <c r="H18" s="129">
        <v>22.826086956521742</v>
      </c>
      <c r="I18" s="130">
        <v>6</v>
      </c>
      <c r="J18" s="130">
        <v>61.9</v>
      </c>
      <c r="K18" s="131">
        <v>2.5</v>
      </c>
      <c r="L18" s="131">
        <v>91</v>
      </c>
      <c r="M18" s="131">
        <v>68</v>
      </c>
      <c r="N18" s="131">
        <v>30</v>
      </c>
      <c r="O18" s="131">
        <v>30</v>
      </c>
      <c r="P18" s="132"/>
      <c r="Q18" s="132"/>
      <c r="R18" s="132"/>
      <c r="S18" s="131">
        <v>248</v>
      </c>
      <c r="T18" s="536" t="s">
        <v>52</v>
      </c>
      <c r="U18" s="546"/>
      <c r="V18" s="541">
        <v>390</v>
      </c>
      <c r="W18" s="130" t="s">
        <v>52</v>
      </c>
      <c r="X18" s="133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</row>
    <row r="19" spans="1:41" ht="15.75" thickBot="1" x14ac:dyDescent="0.3">
      <c r="A19">
        <v>18</v>
      </c>
      <c r="B19" s="135" t="s">
        <v>51</v>
      </c>
      <c r="C19" s="136">
        <v>1</v>
      </c>
      <c r="D19" s="136">
        <v>2</v>
      </c>
      <c r="E19" s="137">
        <v>92.31</v>
      </c>
      <c r="F19" s="137">
        <v>48.67</v>
      </c>
      <c r="G19" s="137">
        <v>4.5454545454545459</v>
      </c>
      <c r="H19" s="137">
        <v>20.913043478260871</v>
      </c>
      <c r="I19" s="138">
        <v>8</v>
      </c>
      <c r="J19" s="139">
        <v>92.9</v>
      </c>
      <c r="K19" s="140">
        <v>2.2999999999999998</v>
      </c>
      <c r="L19" s="140">
        <v>91</v>
      </c>
      <c r="M19" s="140">
        <v>30</v>
      </c>
      <c r="N19" s="140">
        <v>25</v>
      </c>
      <c r="O19" s="140">
        <v>40</v>
      </c>
      <c r="P19" s="141"/>
      <c r="Q19" s="141"/>
      <c r="R19" s="141"/>
      <c r="S19" s="140">
        <v>306</v>
      </c>
      <c r="T19" s="537" t="s">
        <v>52</v>
      </c>
      <c r="U19" s="547"/>
      <c r="V19" s="542">
        <v>310</v>
      </c>
      <c r="W19" s="139" t="s">
        <v>52</v>
      </c>
      <c r="X19" s="142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</row>
    <row r="20" spans="1:41" x14ac:dyDescent="0.25">
      <c r="A20">
        <v>19</v>
      </c>
      <c r="B20" s="143" t="s">
        <v>55</v>
      </c>
      <c r="C20" s="144">
        <v>0</v>
      </c>
      <c r="D20" s="144">
        <v>0</v>
      </c>
      <c r="E20" s="144">
        <v>0</v>
      </c>
      <c r="F20" s="144">
        <v>0</v>
      </c>
      <c r="G20" s="145">
        <v>47.480620199999997</v>
      </c>
      <c r="H20" s="146">
        <v>37.5</v>
      </c>
      <c r="I20" s="144" t="s">
        <v>52</v>
      </c>
      <c r="J20" s="147" t="s">
        <v>52</v>
      </c>
      <c r="K20" s="144" t="s">
        <v>52</v>
      </c>
      <c r="L20" s="144" t="s">
        <v>52</v>
      </c>
      <c r="M20" s="144" t="s">
        <v>52</v>
      </c>
      <c r="N20" s="144" t="s">
        <v>52</v>
      </c>
      <c r="O20" s="144" t="s">
        <v>52</v>
      </c>
      <c r="P20" s="148">
        <v>0.44742728999999998</v>
      </c>
      <c r="Q20" s="148">
        <v>0.41163311000000002</v>
      </c>
      <c r="R20" s="148">
        <v>0.92</v>
      </c>
      <c r="S20" s="149">
        <v>44.7</v>
      </c>
      <c r="T20" s="149">
        <v>18.399999999999999</v>
      </c>
      <c r="U20" s="532">
        <v>20</v>
      </c>
      <c r="V20" s="149">
        <v>662.5</v>
      </c>
      <c r="W20" s="149">
        <v>599</v>
      </c>
      <c r="X20" s="150">
        <v>100</v>
      </c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</row>
    <row r="21" spans="1:41" x14ac:dyDescent="0.25">
      <c r="A21">
        <v>20</v>
      </c>
      <c r="B21" s="152" t="s">
        <v>55</v>
      </c>
      <c r="C21" s="153">
        <v>0</v>
      </c>
      <c r="D21" s="153">
        <v>0</v>
      </c>
      <c r="E21" s="153">
        <v>0</v>
      </c>
      <c r="F21" s="153">
        <v>0</v>
      </c>
      <c r="G21" s="154">
        <v>49.418604700000003</v>
      </c>
      <c r="H21" s="155">
        <v>48.863636399999997</v>
      </c>
      <c r="I21" s="153" t="s">
        <v>52</v>
      </c>
      <c r="J21" s="156" t="s">
        <v>52</v>
      </c>
      <c r="K21" s="153" t="s">
        <v>52</v>
      </c>
      <c r="L21" s="153" t="s">
        <v>52</v>
      </c>
      <c r="M21" s="153" t="s">
        <v>52</v>
      </c>
      <c r="N21" s="153" t="s">
        <v>52</v>
      </c>
      <c r="O21" s="153" t="s">
        <v>52</v>
      </c>
      <c r="P21" s="157">
        <v>0.25917927000000002</v>
      </c>
      <c r="Q21" s="157">
        <v>0.38660907</v>
      </c>
      <c r="R21" s="157">
        <v>1.4916666700000001</v>
      </c>
      <c r="S21" s="158">
        <v>46.3</v>
      </c>
      <c r="T21" s="158">
        <v>17.899999999999999</v>
      </c>
      <c r="U21" s="159">
        <v>12</v>
      </c>
      <c r="V21" s="158">
        <v>632</v>
      </c>
      <c r="W21" s="158">
        <v>104</v>
      </c>
      <c r="X21" s="160">
        <v>110</v>
      </c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</row>
    <row r="22" spans="1:41" x14ac:dyDescent="0.25">
      <c r="A22">
        <v>21</v>
      </c>
      <c r="B22" s="152" t="s">
        <v>55</v>
      </c>
      <c r="C22" s="153">
        <v>0</v>
      </c>
      <c r="D22" s="153">
        <v>0</v>
      </c>
      <c r="E22" s="153">
        <v>0</v>
      </c>
      <c r="F22" s="153">
        <v>0</v>
      </c>
      <c r="G22" s="154">
        <v>57.170542699999999</v>
      </c>
      <c r="H22" s="155">
        <v>20.454545499999998</v>
      </c>
      <c r="I22" s="153" t="s">
        <v>52</v>
      </c>
      <c r="J22" s="156" t="s">
        <v>52</v>
      </c>
      <c r="K22" s="153" t="s">
        <v>52</v>
      </c>
      <c r="L22" s="153" t="s">
        <v>52</v>
      </c>
      <c r="M22" s="153" t="s">
        <v>52</v>
      </c>
      <c r="N22" s="153" t="s">
        <v>52</v>
      </c>
      <c r="O22" s="153" t="s">
        <v>52</v>
      </c>
      <c r="P22" s="157">
        <v>0.28021015999999999</v>
      </c>
      <c r="Q22" s="157">
        <v>0.88791593999999996</v>
      </c>
      <c r="R22" s="157">
        <v>3.1687500000000002</v>
      </c>
      <c r="S22" s="158">
        <v>57.1</v>
      </c>
      <c r="T22" s="158">
        <v>50.7</v>
      </c>
      <c r="U22" s="159">
        <v>16</v>
      </c>
      <c r="V22" s="158">
        <v>693</v>
      </c>
      <c r="W22" s="158">
        <v>804</v>
      </c>
      <c r="X22" s="160">
        <v>191</v>
      </c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</row>
    <row r="23" spans="1:41" x14ac:dyDescent="0.25">
      <c r="A23">
        <v>22</v>
      </c>
      <c r="B23" s="152" t="s">
        <v>55</v>
      </c>
      <c r="C23" s="153">
        <v>0</v>
      </c>
      <c r="D23" s="153">
        <v>0</v>
      </c>
      <c r="E23" s="153">
        <v>0</v>
      </c>
      <c r="F23" s="153">
        <v>0</v>
      </c>
      <c r="G23" s="154">
        <v>67.829457399999995</v>
      </c>
      <c r="H23" s="155">
        <v>37.5</v>
      </c>
      <c r="I23" s="153" t="s">
        <v>52</v>
      </c>
      <c r="J23" s="156" t="s">
        <v>52</v>
      </c>
      <c r="K23" s="153" t="s">
        <v>52</v>
      </c>
      <c r="L23" s="153" t="s">
        <v>52</v>
      </c>
      <c r="M23" s="153" t="s">
        <v>52</v>
      </c>
      <c r="N23" s="153" t="s">
        <v>52</v>
      </c>
      <c r="O23" s="153" t="s">
        <v>52</v>
      </c>
      <c r="P23" s="157">
        <v>0.24640656999999999</v>
      </c>
      <c r="Q23" s="161"/>
      <c r="R23" s="161"/>
      <c r="S23" s="158">
        <v>48.7</v>
      </c>
      <c r="T23" s="162"/>
      <c r="U23" s="159">
        <v>12</v>
      </c>
      <c r="V23" s="158">
        <v>697.4</v>
      </c>
      <c r="W23" s="162"/>
      <c r="X23" s="160">
        <v>566</v>
      </c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</row>
    <row r="24" spans="1:41" x14ac:dyDescent="0.25">
      <c r="A24">
        <v>23</v>
      </c>
      <c r="B24" s="163" t="s">
        <v>55</v>
      </c>
      <c r="C24" s="164">
        <v>0</v>
      </c>
      <c r="D24" s="164">
        <v>1</v>
      </c>
      <c r="E24" s="164">
        <v>0</v>
      </c>
      <c r="F24" s="164">
        <v>0</v>
      </c>
      <c r="G24" s="165">
        <v>59.59</v>
      </c>
      <c r="H24" s="166">
        <v>42.045454599999999</v>
      </c>
      <c r="I24" s="164" t="s">
        <v>52</v>
      </c>
      <c r="J24" s="167" t="s">
        <v>52</v>
      </c>
      <c r="K24" s="164" t="s">
        <v>52</v>
      </c>
      <c r="L24" s="164" t="s">
        <v>52</v>
      </c>
      <c r="M24" s="164" t="s">
        <v>52</v>
      </c>
      <c r="N24" s="164" t="s">
        <v>52</v>
      </c>
      <c r="O24" s="164" t="s">
        <v>52</v>
      </c>
      <c r="P24" s="164" t="s">
        <v>52</v>
      </c>
      <c r="Q24" s="164" t="s">
        <v>52</v>
      </c>
      <c r="R24" s="164" t="s">
        <v>52</v>
      </c>
      <c r="S24" s="164" t="s">
        <v>52</v>
      </c>
      <c r="T24" s="164" t="s">
        <v>52</v>
      </c>
      <c r="U24" s="164" t="s">
        <v>52</v>
      </c>
      <c r="V24" s="164" t="s">
        <v>52</v>
      </c>
      <c r="W24" s="164" t="s">
        <v>52</v>
      </c>
      <c r="X24" s="168" t="s">
        <v>52</v>
      </c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</row>
    <row r="25" spans="1:41" x14ac:dyDescent="0.25">
      <c r="A25">
        <v>24</v>
      </c>
      <c r="B25" s="163" t="s">
        <v>55</v>
      </c>
      <c r="C25" s="164">
        <v>0</v>
      </c>
      <c r="D25" s="164">
        <v>1</v>
      </c>
      <c r="E25" s="164">
        <v>0</v>
      </c>
      <c r="F25" s="164">
        <v>0</v>
      </c>
      <c r="G25" s="165">
        <v>61.53</v>
      </c>
      <c r="H25" s="170">
        <v>51.136363699999997</v>
      </c>
      <c r="I25" s="164" t="s">
        <v>52</v>
      </c>
      <c r="J25" s="167" t="s">
        <v>52</v>
      </c>
      <c r="K25" s="164" t="s">
        <v>52</v>
      </c>
      <c r="L25" s="164" t="s">
        <v>52</v>
      </c>
      <c r="M25" s="164" t="s">
        <v>52</v>
      </c>
      <c r="N25" s="164" t="s">
        <v>52</v>
      </c>
      <c r="O25" s="164" t="s">
        <v>52</v>
      </c>
      <c r="P25" s="164" t="s">
        <v>52</v>
      </c>
      <c r="Q25" s="164" t="s">
        <v>52</v>
      </c>
      <c r="R25" s="164" t="s">
        <v>52</v>
      </c>
      <c r="S25" s="164" t="s">
        <v>52</v>
      </c>
      <c r="T25" s="164" t="s">
        <v>52</v>
      </c>
      <c r="U25" s="164" t="s">
        <v>52</v>
      </c>
      <c r="V25" s="164" t="s">
        <v>52</v>
      </c>
      <c r="W25" s="164" t="s">
        <v>52</v>
      </c>
      <c r="X25" s="168" t="s">
        <v>52</v>
      </c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</row>
    <row r="26" spans="1:41" x14ac:dyDescent="0.25">
      <c r="A26">
        <v>25</v>
      </c>
      <c r="B26" s="163" t="s">
        <v>55</v>
      </c>
      <c r="C26" s="164">
        <v>0</v>
      </c>
      <c r="D26" s="164">
        <v>1</v>
      </c>
      <c r="E26" s="164">
        <v>0</v>
      </c>
      <c r="F26" s="164">
        <v>0</v>
      </c>
      <c r="G26" s="165">
        <v>35.369999999999997</v>
      </c>
      <c r="H26" s="170">
        <v>40.340909099999998</v>
      </c>
      <c r="I26" s="164" t="s">
        <v>52</v>
      </c>
      <c r="J26" s="167" t="s">
        <v>52</v>
      </c>
      <c r="K26" s="164" t="s">
        <v>52</v>
      </c>
      <c r="L26" s="164" t="s">
        <v>52</v>
      </c>
      <c r="M26" s="164" t="s">
        <v>52</v>
      </c>
      <c r="N26" s="164" t="s">
        <v>52</v>
      </c>
      <c r="O26" s="164" t="s">
        <v>52</v>
      </c>
      <c r="P26" s="164" t="s">
        <v>52</v>
      </c>
      <c r="Q26" s="164" t="s">
        <v>52</v>
      </c>
      <c r="R26" s="164" t="s">
        <v>52</v>
      </c>
      <c r="S26" s="164" t="s">
        <v>52</v>
      </c>
      <c r="T26" s="164" t="s">
        <v>52</v>
      </c>
      <c r="U26" s="164" t="s">
        <v>52</v>
      </c>
      <c r="V26" s="164" t="s">
        <v>52</v>
      </c>
      <c r="W26" s="164" t="s">
        <v>52</v>
      </c>
      <c r="X26" s="168" t="s">
        <v>52</v>
      </c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</row>
    <row r="27" spans="1:41" x14ac:dyDescent="0.25">
      <c r="A27">
        <v>26</v>
      </c>
      <c r="B27" s="163" t="s">
        <v>55</v>
      </c>
      <c r="C27" s="164">
        <v>0</v>
      </c>
      <c r="D27" s="164">
        <v>1</v>
      </c>
      <c r="E27" s="164">
        <v>0</v>
      </c>
      <c r="F27" s="164">
        <v>0</v>
      </c>
      <c r="G27" s="165">
        <v>38.76</v>
      </c>
      <c r="H27" s="170">
        <v>40.340909099999998</v>
      </c>
      <c r="I27" s="164" t="s">
        <v>52</v>
      </c>
      <c r="J27" s="167" t="s">
        <v>52</v>
      </c>
      <c r="K27" s="164" t="s">
        <v>52</v>
      </c>
      <c r="L27" s="164" t="s">
        <v>52</v>
      </c>
      <c r="M27" s="164" t="s">
        <v>52</v>
      </c>
      <c r="N27" s="164" t="s">
        <v>52</v>
      </c>
      <c r="O27" s="164" t="s">
        <v>52</v>
      </c>
      <c r="P27" s="164" t="s">
        <v>52</v>
      </c>
      <c r="Q27" s="164" t="s">
        <v>52</v>
      </c>
      <c r="R27" s="164" t="s">
        <v>52</v>
      </c>
      <c r="S27" s="164" t="s">
        <v>52</v>
      </c>
      <c r="T27" s="164" t="s">
        <v>52</v>
      </c>
      <c r="U27" s="164" t="s">
        <v>52</v>
      </c>
      <c r="V27" s="164" t="s">
        <v>52</v>
      </c>
      <c r="W27" s="164" t="s">
        <v>52</v>
      </c>
      <c r="X27" s="168" t="s">
        <v>52</v>
      </c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</row>
    <row r="28" spans="1:41" x14ac:dyDescent="0.25">
      <c r="A28">
        <v>27</v>
      </c>
      <c r="B28" s="171" t="s">
        <v>55</v>
      </c>
      <c r="C28" s="172">
        <v>0</v>
      </c>
      <c r="D28" s="172">
        <v>2</v>
      </c>
      <c r="E28" s="172">
        <v>0</v>
      </c>
      <c r="F28" s="172">
        <v>0</v>
      </c>
      <c r="G28" s="173">
        <v>39.729999999999997</v>
      </c>
      <c r="H28" s="174">
        <v>40.909090900000002</v>
      </c>
      <c r="I28" s="172" t="s">
        <v>52</v>
      </c>
      <c r="J28" s="175" t="s">
        <v>52</v>
      </c>
      <c r="K28" s="172" t="s">
        <v>52</v>
      </c>
      <c r="L28" s="172" t="s">
        <v>52</v>
      </c>
      <c r="M28" s="172" t="s">
        <v>52</v>
      </c>
      <c r="N28" s="172" t="s">
        <v>52</v>
      </c>
      <c r="O28" s="172" t="s">
        <v>52</v>
      </c>
      <c r="P28" s="176">
        <v>7.6394190000000001E-2</v>
      </c>
      <c r="Q28" s="176">
        <v>0.23529412</v>
      </c>
      <c r="R28" s="176">
        <v>3.08</v>
      </c>
      <c r="S28" s="177">
        <v>130.9</v>
      </c>
      <c r="T28" s="177">
        <v>30.8</v>
      </c>
      <c r="U28" s="178">
        <v>10</v>
      </c>
      <c r="V28" s="177">
        <v>636.4</v>
      </c>
      <c r="W28" s="177">
        <v>759</v>
      </c>
      <c r="X28" s="179">
        <v>808</v>
      </c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</row>
    <row r="29" spans="1:41" x14ac:dyDescent="0.25">
      <c r="A29">
        <v>28</v>
      </c>
      <c r="B29" s="171" t="s">
        <v>55</v>
      </c>
      <c r="C29" s="172">
        <v>0</v>
      </c>
      <c r="D29" s="172">
        <v>2</v>
      </c>
      <c r="E29" s="172">
        <v>0</v>
      </c>
      <c r="F29" s="172">
        <v>0</v>
      </c>
      <c r="G29" s="173">
        <v>30.04</v>
      </c>
      <c r="H29" s="181">
        <v>33.5227273</v>
      </c>
      <c r="I29" s="172" t="s">
        <v>52</v>
      </c>
      <c r="J29" s="175" t="s">
        <v>52</v>
      </c>
      <c r="K29" s="172" t="s">
        <v>52</v>
      </c>
      <c r="L29" s="172" t="s">
        <v>52</v>
      </c>
      <c r="M29" s="172" t="s">
        <v>52</v>
      </c>
      <c r="N29" s="172" t="s">
        <v>52</v>
      </c>
      <c r="O29" s="172" t="s">
        <v>52</v>
      </c>
      <c r="P29" s="176">
        <v>0.17080745</v>
      </c>
      <c r="Q29" s="176">
        <v>0.60248447000000005</v>
      </c>
      <c r="R29" s="176">
        <v>3.52727273</v>
      </c>
      <c r="S29" s="177">
        <v>64.400000000000006</v>
      </c>
      <c r="T29" s="177">
        <v>38.799999999999997</v>
      </c>
      <c r="U29" s="178">
        <v>11</v>
      </c>
      <c r="V29" s="177">
        <v>658.2</v>
      </c>
      <c r="W29" s="177">
        <v>660</v>
      </c>
      <c r="X29" s="179">
        <v>668</v>
      </c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</row>
    <row r="30" spans="1:41" x14ac:dyDescent="0.25">
      <c r="A30">
        <v>29</v>
      </c>
      <c r="B30" s="171" t="s">
        <v>55</v>
      </c>
      <c r="C30" s="172">
        <v>0</v>
      </c>
      <c r="D30" s="172">
        <v>2</v>
      </c>
      <c r="E30" s="172">
        <v>0</v>
      </c>
      <c r="F30" s="172">
        <v>0</v>
      </c>
      <c r="G30" s="173">
        <v>46.03</v>
      </c>
      <c r="H30" s="181">
        <v>39.7727273</v>
      </c>
      <c r="I30" s="172" t="s">
        <v>52</v>
      </c>
      <c r="J30" s="175" t="s">
        <v>52</v>
      </c>
      <c r="K30" s="172" t="s">
        <v>52</v>
      </c>
      <c r="L30" s="172" t="s">
        <v>52</v>
      </c>
      <c r="M30" s="172" t="s">
        <v>52</v>
      </c>
      <c r="N30" s="172" t="s">
        <v>52</v>
      </c>
      <c r="O30" s="172" t="s">
        <v>52</v>
      </c>
      <c r="P30" s="176">
        <v>0.12936611000000001</v>
      </c>
      <c r="Q30" s="176">
        <v>0.23027167000000001</v>
      </c>
      <c r="R30" s="176">
        <v>1.78</v>
      </c>
      <c r="S30" s="177">
        <v>77.3</v>
      </c>
      <c r="T30" s="177">
        <v>17.8</v>
      </c>
      <c r="U30" s="178">
        <v>10</v>
      </c>
      <c r="V30" s="177">
        <v>640.70000000000005</v>
      </c>
      <c r="W30" s="177">
        <v>665</v>
      </c>
      <c r="X30" s="179">
        <v>920</v>
      </c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</row>
    <row r="31" spans="1:41" x14ac:dyDescent="0.25">
      <c r="A31">
        <v>30</v>
      </c>
      <c r="B31" s="182" t="s">
        <v>55</v>
      </c>
      <c r="C31" s="183">
        <v>0</v>
      </c>
      <c r="D31" s="183">
        <v>2</v>
      </c>
      <c r="E31" s="183">
        <v>0</v>
      </c>
      <c r="F31" s="183">
        <v>0</v>
      </c>
      <c r="G31" s="184">
        <v>64.44</v>
      </c>
      <c r="H31" s="185">
        <v>39.7727273</v>
      </c>
      <c r="I31" s="186" t="s">
        <v>52</v>
      </c>
      <c r="J31" s="187" t="s">
        <v>52</v>
      </c>
      <c r="K31" s="183" t="s">
        <v>52</v>
      </c>
      <c r="L31" s="183" t="s">
        <v>52</v>
      </c>
      <c r="M31" s="183" t="s">
        <v>52</v>
      </c>
      <c r="N31" s="183" t="s">
        <v>52</v>
      </c>
      <c r="O31" s="183" t="s">
        <v>52</v>
      </c>
      <c r="P31" s="188">
        <v>0.38626609000000001</v>
      </c>
      <c r="Q31" s="188">
        <v>0.75321888000000004</v>
      </c>
      <c r="R31" s="188">
        <v>1.95</v>
      </c>
      <c r="S31" s="189">
        <v>46.6</v>
      </c>
      <c r="T31" s="189">
        <v>35.1</v>
      </c>
      <c r="U31" s="190">
        <v>18</v>
      </c>
      <c r="V31" s="189">
        <v>723.5</v>
      </c>
      <c r="W31" s="189">
        <v>131</v>
      </c>
      <c r="X31" s="191">
        <v>130</v>
      </c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</row>
    <row r="32" spans="1:41" x14ac:dyDescent="0.25">
      <c r="A32">
        <v>31</v>
      </c>
      <c r="B32" s="192" t="s">
        <v>55</v>
      </c>
      <c r="C32" s="193">
        <v>1</v>
      </c>
      <c r="D32" s="193">
        <v>0</v>
      </c>
      <c r="E32" s="194">
        <v>75</v>
      </c>
      <c r="F32" s="194">
        <v>17.857142899999999</v>
      </c>
      <c r="G32" s="194">
        <v>70.25</v>
      </c>
      <c r="H32" s="195">
        <v>47.159090900000002</v>
      </c>
      <c r="I32" s="196" t="s">
        <v>52</v>
      </c>
      <c r="J32" s="197">
        <v>67.27</v>
      </c>
      <c r="K32" s="193" t="s">
        <v>52</v>
      </c>
      <c r="L32" s="193" t="s">
        <v>52</v>
      </c>
      <c r="M32" s="193" t="s">
        <v>52</v>
      </c>
      <c r="N32" s="193" t="s">
        <v>52</v>
      </c>
      <c r="O32" s="193" t="s">
        <v>52</v>
      </c>
      <c r="P32" s="198">
        <v>0.31674207999999998</v>
      </c>
      <c r="Q32" s="198">
        <v>0.35746605999999997</v>
      </c>
      <c r="R32" s="198">
        <v>1.12857143</v>
      </c>
      <c r="S32" s="199">
        <v>44.2</v>
      </c>
      <c r="T32" s="199">
        <v>15.8</v>
      </c>
      <c r="U32" s="200">
        <v>14</v>
      </c>
      <c r="V32" s="199">
        <v>636.4</v>
      </c>
      <c r="W32" s="199">
        <v>883</v>
      </c>
      <c r="X32" s="201">
        <v>150</v>
      </c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</row>
    <row r="33" spans="1:41" x14ac:dyDescent="0.25">
      <c r="A33">
        <v>32</v>
      </c>
      <c r="B33" s="203" t="s">
        <v>55</v>
      </c>
      <c r="C33" s="204">
        <v>1</v>
      </c>
      <c r="D33" s="204">
        <v>0</v>
      </c>
      <c r="E33" s="205">
        <v>85.294117700000001</v>
      </c>
      <c r="F33" s="206">
        <v>29.411764699999999</v>
      </c>
      <c r="G33" s="205">
        <v>83.82</v>
      </c>
      <c r="H33" s="207">
        <v>35.2272727</v>
      </c>
      <c r="I33" s="208" t="s">
        <v>52</v>
      </c>
      <c r="J33" s="209">
        <v>63.19</v>
      </c>
      <c r="K33" s="204" t="s">
        <v>52</v>
      </c>
      <c r="L33" s="204" t="s">
        <v>52</v>
      </c>
      <c r="M33" s="204" t="s">
        <v>52</v>
      </c>
      <c r="N33" s="204" t="s">
        <v>52</v>
      </c>
      <c r="O33" s="204" t="s">
        <v>52</v>
      </c>
      <c r="P33" s="210">
        <v>0.37383178</v>
      </c>
      <c r="Q33" s="210">
        <v>0.58177570000000001</v>
      </c>
      <c r="R33" s="210">
        <v>1.5562499999999999</v>
      </c>
      <c r="S33" s="211">
        <v>42.8</v>
      </c>
      <c r="T33" s="211">
        <v>24.9</v>
      </c>
      <c r="U33" s="212">
        <v>16</v>
      </c>
      <c r="V33" s="211">
        <v>658.2</v>
      </c>
      <c r="W33" s="211">
        <v>111</v>
      </c>
      <c r="X33" s="213">
        <v>120</v>
      </c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</row>
    <row r="34" spans="1:41" x14ac:dyDescent="0.25">
      <c r="A34">
        <v>33</v>
      </c>
      <c r="B34" s="203" t="s">
        <v>55</v>
      </c>
      <c r="C34" s="204">
        <v>1</v>
      </c>
      <c r="D34" s="204">
        <v>0</v>
      </c>
      <c r="E34" s="205">
        <v>86.486486499999998</v>
      </c>
      <c r="F34" s="206">
        <v>24.864864900000001</v>
      </c>
      <c r="G34" s="205" t="s">
        <v>56</v>
      </c>
      <c r="H34" s="207">
        <v>48.863636399999997</v>
      </c>
      <c r="I34" s="208" t="s">
        <v>52</v>
      </c>
      <c r="J34" s="209">
        <v>112.11</v>
      </c>
      <c r="K34" s="204" t="s">
        <v>52</v>
      </c>
      <c r="L34" s="204" t="s">
        <v>52</v>
      </c>
      <c r="M34" s="204" t="s">
        <v>52</v>
      </c>
      <c r="N34" s="204" t="s">
        <v>52</v>
      </c>
      <c r="O34" s="204" t="s">
        <v>52</v>
      </c>
      <c r="P34" s="210">
        <v>0.23076922999999999</v>
      </c>
      <c r="Q34" s="210">
        <v>0.26346153999999999</v>
      </c>
      <c r="R34" s="210">
        <v>1.14166667</v>
      </c>
      <c r="S34" s="211">
        <v>52</v>
      </c>
      <c r="T34" s="211">
        <v>13.7</v>
      </c>
      <c r="U34" s="212">
        <v>12</v>
      </c>
      <c r="V34" s="211">
        <v>636.4</v>
      </c>
      <c r="W34" s="211">
        <v>127</v>
      </c>
      <c r="X34" s="213">
        <v>170</v>
      </c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</row>
    <row r="35" spans="1:41" x14ac:dyDescent="0.25">
      <c r="A35">
        <v>34</v>
      </c>
      <c r="B35" s="203" t="s">
        <v>55</v>
      </c>
      <c r="C35" s="204">
        <v>1</v>
      </c>
      <c r="D35" s="204">
        <v>0</v>
      </c>
      <c r="E35" s="205">
        <v>72.413793100000007</v>
      </c>
      <c r="F35" s="206">
        <v>15.862068969999999</v>
      </c>
      <c r="G35" s="205">
        <v>87.69</v>
      </c>
      <c r="H35" s="207">
        <v>55.681818200000002</v>
      </c>
      <c r="I35" s="208" t="s">
        <v>52</v>
      </c>
      <c r="J35" s="209">
        <v>78.48</v>
      </c>
      <c r="K35" s="204" t="s">
        <v>52</v>
      </c>
      <c r="L35" s="204" t="s">
        <v>52</v>
      </c>
      <c r="M35" s="204" t="s">
        <v>52</v>
      </c>
      <c r="N35" s="204" t="s">
        <v>52</v>
      </c>
      <c r="O35" s="204" t="s">
        <v>52</v>
      </c>
      <c r="P35" s="214"/>
      <c r="Q35" s="210">
        <v>0.25914397</v>
      </c>
      <c r="R35" s="214"/>
      <c r="S35" s="211">
        <v>128.5</v>
      </c>
      <c r="T35" s="211">
        <v>33.299999999999997</v>
      </c>
      <c r="U35" s="215"/>
      <c r="V35" s="211">
        <v>610.20000000000005</v>
      </c>
      <c r="W35" s="211">
        <v>105</v>
      </c>
      <c r="X35" s="216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</row>
    <row r="36" spans="1:41" x14ac:dyDescent="0.25">
      <c r="A36">
        <v>35</v>
      </c>
      <c r="B36" s="217" t="s">
        <v>55</v>
      </c>
      <c r="C36" s="218">
        <v>1</v>
      </c>
      <c r="D36" s="218">
        <v>1</v>
      </c>
      <c r="E36" s="219">
        <v>75</v>
      </c>
      <c r="F36" s="219">
        <v>11.071428600000001</v>
      </c>
      <c r="G36" s="219">
        <v>108.042636</v>
      </c>
      <c r="H36" s="220">
        <v>38.068181799999998</v>
      </c>
      <c r="I36" s="219" t="s">
        <v>52</v>
      </c>
      <c r="J36" s="221">
        <v>58.09</v>
      </c>
      <c r="K36" s="218" t="s">
        <v>52</v>
      </c>
      <c r="L36" s="218" t="s">
        <v>52</v>
      </c>
      <c r="M36" s="218" t="s">
        <v>52</v>
      </c>
      <c r="N36" s="218" t="s">
        <v>52</v>
      </c>
      <c r="O36" s="218" t="s">
        <v>52</v>
      </c>
      <c r="P36" s="222" t="s">
        <v>52</v>
      </c>
      <c r="Q36" s="218" t="s">
        <v>52</v>
      </c>
      <c r="R36" s="222" t="s">
        <v>52</v>
      </c>
      <c r="S36" s="218" t="s">
        <v>52</v>
      </c>
      <c r="T36" s="222" t="s">
        <v>52</v>
      </c>
      <c r="U36" s="218" t="s">
        <v>52</v>
      </c>
      <c r="V36" s="222" t="s">
        <v>52</v>
      </c>
      <c r="W36" s="218" t="s">
        <v>52</v>
      </c>
      <c r="X36" s="223" t="s">
        <v>52</v>
      </c>
      <c r="Y36" s="224"/>
      <c r="Z36" s="224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  <c r="AK36" s="224"/>
      <c r="AL36" s="224"/>
      <c r="AM36" s="224"/>
      <c r="AN36" s="224"/>
      <c r="AO36" s="224"/>
    </row>
    <row r="37" spans="1:41" x14ac:dyDescent="0.25">
      <c r="A37">
        <v>36</v>
      </c>
      <c r="B37" s="217" t="s">
        <v>55</v>
      </c>
      <c r="C37" s="218">
        <v>1</v>
      </c>
      <c r="D37" s="218">
        <v>1</v>
      </c>
      <c r="E37" s="219">
        <v>97.142857100000001</v>
      </c>
      <c r="F37" s="225">
        <v>20.285714299999999</v>
      </c>
      <c r="G37" s="219">
        <v>84.302325600000003</v>
      </c>
      <c r="H37" s="226">
        <v>48.295454599999999</v>
      </c>
      <c r="I37" s="225" t="s">
        <v>52</v>
      </c>
      <c r="J37" s="227">
        <v>100.9</v>
      </c>
      <c r="K37" s="218" t="s">
        <v>52</v>
      </c>
      <c r="L37" s="218" t="s">
        <v>52</v>
      </c>
      <c r="M37" s="218" t="s">
        <v>52</v>
      </c>
      <c r="N37" s="218" t="s">
        <v>52</v>
      </c>
      <c r="O37" s="218" t="s">
        <v>52</v>
      </c>
      <c r="P37" s="222" t="s">
        <v>52</v>
      </c>
      <c r="Q37" s="218" t="s">
        <v>52</v>
      </c>
      <c r="R37" s="222" t="s">
        <v>52</v>
      </c>
      <c r="S37" s="218" t="s">
        <v>52</v>
      </c>
      <c r="T37" s="222" t="s">
        <v>52</v>
      </c>
      <c r="U37" s="218" t="s">
        <v>52</v>
      </c>
      <c r="V37" s="222" t="s">
        <v>52</v>
      </c>
      <c r="W37" s="218" t="s">
        <v>52</v>
      </c>
      <c r="X37" s="223" t="s">
        <v>52</v>
      </c>
      <c r="Y37" s="224"/>
      <c r="Z37" s="224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224"/>
    </row>
    <row r="38" spans="1:41" x14ac:dyDescent="0.25">
      <c r="A38">
        <v>37</v>
      </c>
      <c r="B38" s="217" t="s">
        <v>55</v>
      </c>
      <c r="C38" s="218">
        <v>1</v>
      </c>
      <c r="D38" s="218">
        <v>1</v>
      </c>
      <c r="E38" s="219">
        <v>90.476190500000001</v>
      </c>
      <c r="F38" s="225">
        <v>31.6666667</v>
      </c>
      <c r="G38" s="219">
        <v>94.9612403</v>
      </c>
      <c r="H38" s="226">
        <v>41.4772727</v>
      </c>
      <c r="I38" s="225" t="s">
        <v>52</v>
      </c>
      <c r="J38" s="227">
        <v>83.57</v>
      </c>
      <c r="K38" s="218" t="s">
        <v>52</v>
      </c>
      <c r="L38" s="218" t="s">
        <v>52</v>
      </c>
      <c r="M38" s="218" t="s">
        <v>52</v>
      </c>
      <c r="N38" s="218" t="s">
        <v>52</v>
      </c>
      <c r="O38" s="218" t="s">
        <v>52</v>
      </c>
      <c r="P38" s="222" t="s">
        <v>52</v>
      </c>
      <c r="Q38" s="218" t="s">
        <v>52</v>
      </c>
      <c r="R38" s="222" t="s">
        <v>52</v>
      </c>
      <c r="S38" s="218" t="s">
        <v>52</v>
      </c>
      <c r="T38" s="222" t="s">
        <v>52</v>
      </c>
      <c r="U38" s="218" t="s">
        <v>52</v>
      </c>
      <c r="V38" s="222" t="s">
        <v>52</v>
      </c>
      <c r="W38" s="218" t="s">
        <v>52</v>
      </c>
      <c r="X38" s="223" t="s">
        <v>52</v>
      </c>
      <c r="Y38" s="224"/>
      <c r="Z38" s="224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</row>
    <row r="39" spans="1:41" x14ac:dyDescent="0.25">
      <c r="A39">
        <v>38</v>
      </c>
      <c r="B39" s="217" t="s">
        <v>55</v>
      </c>
      <c r="C39" s="218">
        <v>1</v>
      </c>
      <c r="D39" s="218">
        <v>1</v>
      </c>
      <c r="E39" s="222">
        <v>48.387096769999999</v>
      </c>
      <c r="F39" s="222">
        <v>7.4193548390000004</v>
      </c>
      <c r="G39" s="219">
        <v>83.333333400000001</v>
      </c>
      <c r="H39" s="226">
        <v>51.704545500000002</v>
      </c>
      <c r="I39" s="225" t="s">
        <v>52</v>
      </c>
      <c r="J39" s="227">
        <v>20.38</v>
      </c>
      <c r="K39" s="218" t="s">
        <v>52</v>
      </c>
      <c r="L39" s="218" t="s">
        <v>52</v>
      </c>
      <c r="M39" s="218" t="s">
        <v>52</v>
      </c>
      <c r="N39" s="218" t="s">
        <v>52</v>
      </c>
      <c r="O39" s="218" t="s">
        <v>52</v>
      </c>
      <c r="P39" s="222" t="s">
        <v>52</v>
      </c>
      <c r="Q39" s="218" t="s">
        <v>52</v>
      </c>
      <c r="R39" s="222" t="s">
        <v>52</v>
      </c>
      <c r="S39" s="218" t="s">
        <v>52</v>
      </c>
      <c r="T39" s="222" t="s">
        <v>52</v>
      </c>
      <c r="U39" s="218" t="s">
        <v>52</v>
      </c>
      <c r="V39" s="222" t="s">
        <v>52</v>
      </c>
      <c r="W39" s="218" t="s">
        <v>52</v>
      </c>
      <c r="X39" s="223" t="s">
        <v>52</v>
      </c>
      <c r="Y39" s="224"/>
      <c r="Z39" s="224"/>
      <c r="AA39" s="224"/>
      <c r="AB39" s="224"/>
      <c r="AC39" s="224"/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</row>
    <row r="40" spans="1:41" x14ac:dyDescent="0.25">
      <c r="A40">
        <v>39</v>
      </c>
      <c r="B40" s="228" t="s">
        <v>55</v>
      </c>
      <c r="C40" s="229">
        <v>1</v>
      </c>
      <c r="D40" s="229">
        <v>2</v>
      </c>
      <c r="E40" s="230">
        <v>78.787878800000001</v>
      </c>
      <c r="F40" s="230">
        <v>22.121212100000001</v>
      </c>
      <c r="G40" s="230">
        <v>96.41</v>
      </c>
      <c r="H40" s="231">
        <v>59.090909099999998</v>
      </c>
      <c r="I40" s="232" t="s">
        <v>52</v>
      </c>
      <c r="J40" s="233">
        <v>55.04</v>
      </c>
      <c r="K40" s="229" t="s">
        <v>52</v>
      </c>
      <c r="L40" s="229" t="s">
        <v>52</v>
      </c>
      <c r="M40" s="229" t="s">
        <v>52</v>
      </c>
      <c r="N40" s="229" t="s">
        <v>52</v>
      </c>
      <c r="O40" s="229" t="s">
        <v>52</v>
      </c>
      <c r="P40" s="234">
        <v>0.19438444999999999</v>
      </c>
      <c r="Q40" s="234">
        <v>0.30237581000000002</v>
      </c>
      <c r="R40" s="234">
        <v>1.5555555599999999</v>
      </c>
      <c r="S40" s="235">
        <v>92.6</v>
      </c>
      <c r="T40" s="235">
        <v>28</v>
      </c>
      <c r="U40" s="236">
        <v>18</v>
      </c>
      <c r="V40" s="235">
        <v>632</v>
      </c>
      <c r="W40" s="235">
        <v>113</v>
      </c>
      <c r="X40" s="237">
        <v>574</v>
      </c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</row>
    <row r="41" spans="1:41" x14ac:dyDescent="0.25">
      <c r="A41">
        <v>40</v>
      </c>
      <c r="B41" s="228" t="s">
        <v>55</v>
      </c>
      <c r="C41" s="229">
        <v>1</v>
      </c>
      <c r="D41" s="229">
        <v>2</v>
      </c>
      <c r="E41" s="230">
        <v>80.4878049</v>
      </c>
      <c r="F41" s="239">
        <v>22.926829300000001</v>
      </c>
      <c r="G41" s="230">
        <v>97.87</v>
      </c>
      <c r="H41" s="240">
        <v>58.5227273</v>
      </c>
      <c r="I41" s="229" t="s">
        <v>52</v>
      </c>
      <c r="J41" s="241">
        <v>27.52</v>
      </c>
      <c r="K41" s="229" t="s">
        <v>52</v>
      </c>
      <c r="L41" s="229" t="s">
        <v>52</v>
      </c>
      <c r="M41" s="229" t="s">
        <v>52</v>
      </c>
      <c r="N41" s="229" t="s">
        <v>52</v>
      </c>
      <c r="O41" s="229" t="s">
        <v>52</v>
      </c>
      <c r="P41" s="234">
        <v>0.10805501000000001</v>
      </c>
      <c r="Q41" s="234">
        <v>0.18123771999999999</v>
      </c>
      <c r="R41" s="234">
        <v>1.6772727300000001</v>
      </c>
      <c r="S41" s="235">
        <v>203.6</v>
      </c>
      <c r="T41" s="235">
        <v>36.9</v>
      </c>
      <c r="U41" s="236">
        <v>22</v>
      </c>
      <c r="V41" s="235">
        <v>662.5</v>
      </c>
      <c r="W41" s="235">
        <v>993</v>
      </c>
      <c r="X41" s="237">
        <v>817</v>
      </c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</row>
    <row r="42" spans="1:41" x14ac:dyDescent="0.25">
      <c r="A42">
        <v>41</v>
      </c>
      <c r="B42" s="228" t="s">
        <v>55</v>
      </c>
      <c r="C42" s="229">
        <v>1</v>
      </c>
      <c r="D42" s="229">
        <v>2</v>
      </c>
      <c r="E42" s="230">
        <v>78.571428600000004</v>
      </c>
      <c r="F42" s="239">
        <v>17.428571399999999</v>
      </c>
      <c r="G42" s="230">
        <v>77.52</v>
      </c>
      <c r="H42" s="240">
        <v>43.181818200000002</v>
      </c>
      <c r="I42" s="229" t="s">
        <v>52</v>
      </c>
      <c r="J42" s="241">
        <v>61.15</v>
      </c>
      <c r="K42" s="229" t="s">
        <v>52</v>
      </c>
      <c r="L42" s="229" t="s">
        <v>52</v>
      </c>
      <c r="M42" s="229" t="s">
        <v>52</v>
      </c>
      <c r="N42" s="229" t="s">
        <v>52</v>
      </c>
      <c r="O42" s="229" t="s">
        <v>52</v>
      </c>
      <c r="P42" s="234">
        <v>0.11928429</v>
      </c>
      <c r="Q42" s="234">
        <v>0.19615639000000001</v>
      </c>
      <c r="R42" s="234">
        <v>1.64444444</v>
      </c>
      <c r="S42" s="235">
        <v>150.9</v>
      </c>
      <c r="T42" s="235">
        <v>29.6</v>
      </c>
      <c r="U42" s="236">
        <v>18</v>
      </c>
      <c r="V42" s="235">
        <v>658.2</v>
      </c>
      <c r="W42" s="235">
        <v>110</v>
      </c>
      <c r="X42" s="237">
        <v>751</v>
      </c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</row>
    <row r="43" spans="1:41" x14ac:dyDescent="0.25">
      <c r="A43">
        <v>42</v>
      </c>
      <c r="B43" s="242" t="s">
        <v>55</v>
      </c>
      <c r="C43" s="243">
        <v>1</v>
      </c>
      <c r="D43" s="243">
        <v>2</v>
      </c>
      <c r="E43" s="244">
        <v>68.571428569999995</v>
      </c>
      <c r="F43" s="244">
        <v>17.38095238</v>
      </c>
      <c r="G43" s="245">
        <v>84.79</v>
      </c>
      <c r="H43" s="246">
        <v>64.204545499999995</v>
      </c>
      <c r="I43" s="243" t="s">
        <v>52</v>
      </c>
      <c r="J43" s="247">
        <v>60.13</v>
      </c>
      <c r="K43" s="243" t="s">
        <v>52</v>
      </c>
      <c r="L43" s="243" t="s">
        <v>52</v>
      </c>
      <c r="M43" s="243" t="s">
        <v>52</v>
      </c>
      <c r="N43" s="243" t="s">
        <v>52</v>
      </c>
      <c r="O43" s="243" t="s">
        <v>52</v>
      </c>
      <c r="P43" s="248"/>
      <c r="Q43" s="248"/>
      <c r="R43" s="248"/>
      <c r="S43" s="249"/>
      <c r="T43" s="249"/>
      <c r="U43" s="249"/>
      <c r="V43" s="249"/>
      <c r="W43" s="249"/>
      <c r="X43" s="250"/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</row>
    <row r="44" spans="1:41" x14ac:dyDescent="0.25">
      <c r="B44" s="251"/>
      <c r="C44" s="251"/>
      <c r="D44" s="251"/>
      <c r="E44" s="251"/>
      <c r="F44" s="251"/>
      <c r="G44" s="252"/>
      <c r="H44" s="253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1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</row>
    <row r="45" spans="1:41" x14ac:dyDescent="0.25">
      <c r="B45" s="251"/>
      <c r="C45" s="251"/>
      <c r="D45" s="251"/>
      <c r="E45" s="251"/>
      <c r="F45" s="251"/>
      <c r="G45" s="252"/>
      <c r="H45" s="253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  <c r="AA45" s="251"/>
      <c r="AB45" s="251"/>
      <c r="AC45" s="251"/>
      <c r="AD45" s="251"/>
      <c r="AE45" s="251"/>
      <c r="AF45" s="251"/>
      <c r="AG45" s="251"/>
      <c r="AH45" s="251"/>
      <c r="AI45" s="251"/>
      <c r="AJ45" s="251"/>
      <c r="AK45" s="251"/>
      <c r="AL45" s="251"/>
      <c r="AM45" s="251"/>
      <c r="AN45" s="251"/>
      <c r="AO45" s="251"/>
    </row>
    <row r="46" spans="1:41" x14ac:dyDescent="0.25">
      <c r="B46" s="254" t="s">
        <v>57</v>
      </c>
      <c r="C46" s="251"/>
      <c r="D46" s="251"/>
      <c r="E46" s="255"/>
      <c r="F46" s="251"/>
      <c r="G46" s="252"/>
      <c r="H46" s="253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  <c r="AK46" s="251"/>
      <c r="AL46" s="251"/>
      <c r="AM46" s="251"/>
      <c r="AN46" s="251"/>
      <c r="AO46" s="251"/>
    </row>
    <row r="47" spans="1:41" x14ac:dyDescent="0.25">
      <c r="B47" s="256" t="s">
        <v>28</v>
      </c>
      <c r="C47" s="257" t="s">
        <v>29</v>
      </c>
      <c r="D47" s="257" t="s">
        <v>30</v>
      </c>
      <c r="E47" s="257" t="s">
        <v>31</v>
      </c>
      <c r="F47" s="257" t="s">
        <v>32</v>
      </c>
      <c r="G47" s="258" t="s">
        <v>33</v>
      </c>
      <c r="H47" s="258" t="s">
        <v>34</v>
      </c>
      <c r="I47" s="257" t="s">
        <v>58</v>
      </c>
      <c r="J47" s="257" t="s">
        <v>36</v>
      </c>
      <c r="K47" s="259" t="s">
        <v>37</v>
      </c>
      <c r="L47" s="260" t="s">
        <v>38</v>
      </c>
      <c r="M47" s="260" t="s">
        <v>39</v>
      </c>
      <c r="N47" s="260" t="s">
        <v>40</v>
      </c>
      <c r="O47" s="260" t="s">
        <v>41</v>
      </c>
      <c r="P47" s="259" t="s">
        <v>42</v>
      </c>
      <c r="Q47" s="259" t="s">
        <v>43</v>
      </c>
      <c r="R47" s="259" t="s">
        <v>44</v>
      </c>
      <c r="S47" s="261" t="s">
        <v>45</v>
      </c>
      <c r="T47" s="261" t="s">
        <v>46</v>
      </c>
      <c r="U47" s="261" t="s">
        <v>47</v>
      </c>
      <c r="V47" s="261" t="s">
        <v>48</v>
      </c>
      <c r="W47" s="261" t="s">
        <v>49</v>
      </c>
      <c r="X47" s="262" t="s">
        <v>50</v>
      </c>
      <c r="Y47" s="251"/>
      <c r="Z47" s="251"/>
      <c r="AA47" s="251"/>
      <c r="AB47" s="251"/>
      <c r="AC47" s="251"/>
      <c r="AD47" s="251"/>
      <c r="AE47" s="251"/>
      <c r="AF47" s="251"/>
      <c r="AG47" s="251"/>
      <c r="AH47" s="251"/>
      <c r="AI47" s="251"/>
      <c r="AJ47" s="251"/>
      <c r="AK47" s="251"/>
      <c r="AL47" s="251"/>
      <c r="AM47" s="251"/>
      <c r="AN47" s="251"/>
      <c r="AO47" s="251"/>
    </row>
    <row r="48" spans="1:41" x14ac:dyDescent="0.25">
      <c r="B48" s="263" t="s">
        <v>59</v>
      </c>
      <c r="C48" s="264" t="s">
        <v>60</v>
      </c>
      <c r="D48" s="265">
        <v>0</v>
      </c>
      <c r="E48" s="266">
        <f t="shared" ref="E48:O48" si="0">AVERAGEA(E2:E4)</f>
        <v>0</v>
      </c>
      <c r="F48" s="266">
        <f t="shared" si="0"/>
        <v>0</v>
      </c>
      <c r="G48" s="267">
        <f t="shared" si="0"/>
        <v>5.015673981191223</v>
      </c>
      <c r="H48" s="267">
        <f t="shared" si="0"/>
        <v>20.579710144927535</v>
      </c>
      <c r="I48" s="267">
        <f t="shared" si="0"/>
        <v>0</v>
      </c>
      <c r="J48" s="266">
        <f t="shared" si="0"/>
        <v>0</v>
      </c>
      <c r="K48" s="268">
        <f t="shared" si="0"/>
        <v>2.6</v>
      </c>
      <c r="L48" s="268">
        <f t="shared" si="0"/>
        <v>50</v>
      </c>
      <c r="M48" s="268">
        <f t="shared" si="0"/>
        <v>44</v>
      </c>
      <c r="N48" s="268">
        <f t="shared" si="0"/>
        <v>37</v>
      </c>
      <c r="O48" s="268">
        <f t="shared" si="0"/>
        <v>30</v>
      </c>
      <c r="P48" s="267"/>
      <c r="Q48" s="267"/>
      <c r="R48" s="267"/>
      <c r="S48" s="267">
        <f>AVERAGEA(S2:S4)</f>
        <v>103</v>
      </c>
      <c r="T48" s="267"/>
      <c r="U48" s="267"/>
      <c r="V48" s="267">
        <f>AVERAGEA(V5:V7)</f>
        <v>423.33333333333331</v>
      </c>
      <c r="W48" s="267"/>
      <c r="X48" s="269"/>
      <c r="Y48" s="251"/>
      <c r="Z48" s="251"/>
      <c r="AA48" s="251"/>
      <c r="AB48" s="251"/>
      <c r="AC48" s="251"/>
      <c r="AD48" s="251"/>
      <c r="AE48" s="251"/>
      <c r="AF48" s="251"/>
      <c r="AG48" s="251"/>
      <c r="AH48" s="251"/>
      <c r="AI48" s="251"/>
      <c r="AJ48" s="251"/>
      <c r="AK48" s="251"/>
      <c r="AL48" s="251"/>
      <c r="AM48" s="251"/>
      <c r="AN48" s="251"/>
      <c r="AO48" s="251"/>
    </row>
    <row r="49" spans="2:41" x14ac:dyDescent="0.25">
      <c r="B49" s="263" t="s">
        <v>59</v>
      </c>
      <c r="C49" s="264" t="s">
        <v>60</v>
      </c>
      <c r="D49" s="265">
        <v>1</v>
      </c>
      <c r="E49" s="266">
        <f t="shared" ref="E49:H49" si="1">AVERAGEA(E5:E7)</f>
        <v>0</v>
      </c>
      <c r="F49" s="266">
        <f t="shared" si="1"/>
        <v>0</v>
      </c>
      <c r="G49" s="267">
        <f t="shared" si="1"/>
        <v>4.4733542319749224</v>
      </c>
      <c r="H49" s="267">
        <f t="shared" si="1"/>
        <v>23.927536231884059</v>
      </c>
      <c r="I49" s="267">
        <f t="shared" ref="I49:I50" si="2">AVERAGEA(I3:I5)</f>
        <v>0</v>
      </c>
      <c r="J49" s="266">
        <f t="shared" ref="J49:O49" si="3">AVERAGEA(J5:J7)</f>
        <v>0</v>
      </c>
      <c r="K49" s="268">
        <f t="shared" si="3"/>
        <v>2.6</v>
      </c>
      <c r="L49" s="268">
        <f t="shared" si="3"/>
        <v>98.666666666666671</v>
      </c>
      <c r="M49" s="268">
        <f t="shared" si="3"/>
        <v>49.333333333333336</v>
      </c>
      <c r="N49" s="268">
        <f t="shared" si="3"/>
        <v>29</v>
      </c>
      <c r="O49" s="268">
        <f t="shared" si="3"/>
        <v>30</v>
      </c>
      <c r="P49" s="267"/>
      <c r="Q49" s="267"/>
      <c r="R49" s="267"/>
      <c r="S49" s="267">
        <f>AVERAGEA(S5:S7)</f>
        <v>197.66666666666666</v>
      </c>
      <c r="T49" s="267"/>
      <c r="U49" s="267"/>
      <c r="V49" s="267">
        <f>AVERAGEA(V5:V9)</f>
        <v>418</v>
      </c>
      <c r="W49" s="267"/>
      <c r="X49" s="269"/>
      <c r="Y49" s="251"/>
      <c r="Z49" s="251"/>
      <c r="AA49" s="251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</row>
    <row r="50" spans="2:41" x14ac:dyDescent="0.25">
      <c r="B50" s="263" t="s">
        <v>59</v>
      </c>
      <c r="C50" s="264" t="s">
        <v>60</v>
      </c>
      <c r="D50" s="265">
        <v>2</v>
      </c>
      <c r="E50" s="266">
        <f t="shared" ref="E50:H50" si="4">AVERAGEA(E8:E10)</f>
        <v>0</v>
      </c>
      <c r="F50" s="266">
        <f t="shared" si="4"/>
        <v>0</v>
      </c>
      <c r="G50" s="267">
        <f t="shared" si="4"/>
        <v>4.1588296760710568</v>
      </c>
      <c r="H50" s="267">
        <f t="shared" si="4"/>
        <v>21.681159420289855</v>
      </c>
      <c r="I50" s="267">
        <f t="shared" si="2"/>
        <v>0</v>
      </c>
      <c r="J50" s="266">
        <f t="shared" ref="J50:O50" si="5">AVERAGEA(J8:J10)</f>
        <v>0</v>
      </c>
      <c r="K50" s="268">
        <f t="shared" si="5"/>
        <v>2.5666666666666664</v>
      </c>
      <c r="L50" s="268">
        <f t="shared" si="5"/>
        <v>95.666666666666671</v>
      </c>
      <c r="M50" s="268">
        <f t="shared" si="5"/>
        <v>47.666666666666664</v>
      </c>
      <c r="N50" s="268">
        <f t="shared" si="5"/>
        <v>27.666666666666668</v>
      </c>
      <c r="O50" s="268">
        <f t="shared" si="5"/>
        <v>30</v>
      </c>
      <c r="P50" s="267"/>
      <c r="Q50" s="267"/>
      <c r="R50" s="267"/>
      <c r="S50" s="267">
        <f>AVERAGEA(S8:S10)</f>
        <v>278</v>
      </c>
      <c r="T50" s="267"/>
      <c r="U50" s="267"/>
      <c r="V50" s="267">
        <f>AVERAGEA(V9:V10)</f>
        <v>415</v>
      </c>
      <c r="W50" s="267"/>
      <c r="X50" s="269"/>
      <c r="Y50" s="251"/>
      <c r="Z50" s="251"/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  <c r="AK50" s="251"/>
      <c r="AL50" s="251"/>
      <c r="AM50" s="251"/>
      <c r="AN50" s="251"/>
      <c r="AO50" s="251"/>
    </row>
    <row r="51" spans="2:41" x14ac:dyDescent="0.25">
      <c r="B51" s="263" t="s">
        <v>59</v>
      </c>
      <c r="C51" s="264" t="s">
        <v>1</v>
      </c>
      <c r="D51" s="265">
        <v>0</v>
      </c>
      <c r="E51" s="267">
        <f t="shared" ref="E51:H51" si="6">AVERAGE(E11:E13)</f>
        <v>91.133333333333326</v>
      </c>
      <c r="F51" s="267">
        <f t="shared" si="6"/>
        <v>49.623333333333335</v>
      </c>
      <c r="G51" s="267">
        <f t="shared" si="6"/>
        <v>4.1536050156739819</v>
      </c>
      <c r="H51" s="267">
        <f t="shared" si="6"/>
        <v>22</v>
      </c>
      <c r="I51" s="267">
        <f>AVERAGEA(I11:I13)</f>
        <v>140.66666666666666</v>
      </c>
      <c r="J51" s="264">
        <v>0</v>
      </c>
      <c r="K51" s="268">
        <f t="shared" ref="K51:O51" si="7">AVERAGE(K11:K13)</f>
        <v>2.6500000000000004</v>
      </c>
      <c r="L51" s="268">
        <f t="shared" si="7"/>
        <v>49</v>
      </c>
      <c r="M51" s="268">
        <f t="shared" si="7"/>
        <v>45</v>
      </c>
      <c r="N51" s="268">
        <f t="shared" si="7"/>
        <v>28</v>
      </c>
      <c r="O51" s="268">
        <f t="shared" si="7"/>
        <v>30</v>
      </c>
      <c r="P51" s="267"/>
      <c r="Q51" s="267"/>
      <c r="R51" s="267"/>
      <c r="S51" s="267">
        <f>AVERAGE(S11:S13)</f>
        <v>100</v>
      </c>
      <c r="T51" s="267"/>
      <c r="U51" s="267"/>
      <c r="V51" s="267">
        <f>AVERAGE(V11:V13)</f>
        <v>430</v>
      </c>
      <c r="W51" s="267"/>
      <c r="X51" s="269"/>
      <c r="Y51" s="251"/>
      <c r="Z51" s="251"/>
      <c r="AA51" s="251"/>
      <c r="AB51" s="251"/>
      <c r="AC51" s="251"/>
      <c r="AD51" s="251"/>
      <c r="AE51" s="251"/>
      <c r="AF51" s="251"/>
      <c r="AG51" s="251"/>
      <c r="AH51" s="251"/>
      <c r="AI51" s="251"/>
      <c r="AJ51" s="251"/>
      <c r="AK51" s="251"/>
      <c r="AL51" s="251"/>
      <c r="AM51" s="251"/>
      <c r="AN51" s="251"/>
      <c r="AO51" s="251"/>
    </row>
    <row r="52" spans="2:41" x14ac:dyDescent="0.25">
      <c r="B52" s="263" t="s">
        <v>59</v>
      </c>
      <c r="C52" s="264" t="s">
        <v>1</v>
      </c>
      <c r="D52" s="265">
        <v>1</v>
      </c>
      <c r="E52" s="267">
        <f t="shared" ref="E52:H52" si="8">AVERAGE(E14:E16)</f>
        <v>83.720000000000013</v>
      </c>
      <c r="F52" s="267">
        <f t="shared" si="8"/>
        <v>41.03</v>
      </c>
      <c r="G52" s="267">
        <f t="shared" si="8"/>
        <v>5.7366771159874617</v>
      </c>
      <c r="H52" s="267">
        <f t="shared" si="8"/>
        <v>19.978260869565219</v>
      </c>
      <c r="I52" s="267">
        <f>AVERAGEA(I14:I16)</f>
        <v>445</v>
      </c>
      <c r="J52" s="264">
        <v>0</v>
      </c>
      <c r="K52" s="268">
        <f t="shared" ref="K52:O52" si="9">AVERAGE(K14:K16)</f>
        <v>2.5</v>
      </c>
      <c r="L52" s="268">
        <f t="shared" si="9"/>
        <v>80.333333333333329</v>
      </c>
      <c r="M52" s="268">
        <f t="shared" si="9"/>
        <v>58.333333333333336</v>
      </c>
      <c r="N52" s="268">
        <f t="shared" si="9"/>
        <v>30.666666666666668</v>
      </c>
      <c r="O52" s="268">
        <f t="shared" si="9"/>
        <v>20</v>
      </c>
      <c r="P52" s="267"/>
      <c r="Q52" s="267"/>
      <c r="R52" s="267"/>
      <c r="S52" s="267">
        <f>AVERAGE(S14:S16)</f>
        <v>157.66666666666666</v>
      </c>
      <c r="T52" s="267"/>
      <c r="U52" s="267"/>
      <c r="V52" s="267">
        <f>AVERAGE(V14:V16)</f>
        <v>403.33333333333331</v>
      </c>
      <c r="W52" s="267"/>
      <c r="X52" s="269"/>
      <c r="Y52" s="251"/>
      <c r="Z52" s="251"/>
      <c r="AA52" s="251"/>
      <c r="AB52" s="251"/>
      <c r="AC52" s="251"/>
      <c r="AD52" s="251"/>
      <c r="AE52" s="251"/>
      <c r="AF52" s="251"/>
      <c r="AG52" s="251"/>
      <c r="AH52" s="251"/>
      <c r="AI52" s="251"/>
      <c r="AJ52" s="251"/>
      <c r="AK52" s="251"/>
      <c r="AL52" s="251"/>
      <c r="AM52" s="251"/>
      <c r="AN52" s="251"/>
      <c r="AO52" s="251"/>
    </row>
    <row r="53" spans="2:41" x14ac:dyDescent="0.25">
      <c r="B53" s="263" t="s">
        <v>59</v>
      </c>
      <c r="C53" s="264" t="s">
        <v>1</v>
      </c>
      <c r="D53" s="265">
        <v>2</v>
      </c>
      <c r="E53" s="267">
        <f t="shared" ref="E53:H53" si="10">AVERAGE(E17:E19)</f>
        <v>90.056666666666672</v>
      </c>
      <c r="F53" s="267">
        <f t="shared" si="10"/>
        <v>40.463333333333331</v>
      </c>
      <c r="G53" s="267">
        <f t="shared" si="10"/>
        <v>3.7408568443051209</v>
      </c>
      <c r="H53" s="267">
        <f t="shared" si="10"/>
        <v>21.478260869565219</v>
      </c>
      <c r="I53" s="267">
        <f>AVERAGEA(I17:I19)</f>
        <v>8.6666666666666661</v>
      </c>
      <c r="J53" s="264">
        <v>0</v>
      </c>
      <c r="K53" s="268">
        <f t="shared" ref="K53:O53" si="11">AVERAGE(K17:K19)</f>
        <v>2.4</v>
      </c>
      <c r="L53" s="268">
        <f t="shared" si="11"/>
        <v>92</v>
      </c>
      <c r="M53" s="268">
        <f t="shared" si="11"/>
        <v>51.666666666666664</v>
      </c>
      <c r="N53" s="268">
        <f t="shared" si="11"/>
        <v>29</v>
      </c>
      <c r="O53" s="268">
        <f t="shared" si="11"/>
        <v>33.333333333333336</v>
      </c>
      <c r="P53" s="267"/>
      <c r="Q53" s="267"/>
      <c r="R53" s="267"/>
      <c r="S53" s="267">
        <f>AVERAGE(S17:S19)</f>
        <v>298.66666666666669</v>
      </c>
      <c r="T53" s="267"/>
      <c r="U53" s="267"/>
      <c r="V53" s="267">
        <f>AVERAGE(V17:V19)</f>
        <v>363.33333333333331</v>
      </c>
      <c r="W53" s="267"/>
      <c r="X53" s="269"/>
      <c r="Y53" s="251"/>
      <c r="Z53" s="251"/>
      <c r="AA53" s="251"/>
      <c r="AB53" s="251"/>
      <c r="AC53" s="251"/>
      <c r="AD53" s="251"/>
      <c r="AE53" s="251"/>
      <c r="AF53" s="251"/>
      <c r="AG53" s="251"/>
      <c r="AH53" s="251"/>
      <c r="AI53" s="251"/>
      <c r="AJ53" s="251"/>
      <c r="AK53" s="251"/>
      <c r="AL53" s="251"/>
      <c r="AM53" s="251"/>
      <c r="AN53" s="251"/>
      <c r="AO53" s="251"/>
    </row>
    <row r="54" spans="2:41" x14ac:dyDescent="0.25">
      <c r="B54" s="263" t="s">
        <v>55</v>
      </c>
      <c r="C54" s="264" t="s">
        <v>60</v>
      </c>
      <c r="D54" s="265">
        <v>0</v>
      </c>
      <c r="E54" s="266">
        <f t="shared" ref="E54:H54" si="12">AVERAGE(E20:E23)</f>
        <v>0</v>
      </c>
      <c r="F54" s="266">
        <f t="shared" si="12"/>
        <v>0</v>
      </c>
      <c r="G54" s="267">
        <f t="shared" si="12"/>
        <v>55.47480625</v>
      </c>
      <c r="H54" s="267">
        <f t="shared" si="12"/>
        <v>36.079545474999996</v>
      </c>
      <c r="I54" s="267"/>
      <c r="J54" s="265">
        <v>0</v>
      </c>
      <c r="K54" s="267"/>
      <c r="L54" s="267"/>
      <c r="M54" s="267"/>
      <c r="N54" s="267"/>
      <c r="O54" s="267"/>
      <c r="P54" s="267">
        <f t="shared" ref="P54:X54" si="13">AVERAGE(P20:P23)</f>
        <v>0.30830582249999999</v>
      </c>
      <c r="Q54" s="267">
        <f t="shared" si="13"/>
        <v>0.56205270666666662</v>
      </c>
      <c r="R54" s="267">
        <f t="shared" si="13"/>
        <v>1.86013889</v>
      </c>
      <c r="S54" s="267">
        <f t="shared" si="13"/>
        <v>49.2</v>
      </c>
      <c r="T54" s="267">
        <f t="shared" si="13"/>
        <v>29</v>
      </c>
      <c r="U54" s="267">
        <f t="shared" si="13"/>
        <v>15</v>
      </c>
      <c r="V54" s="267">
        <f t="shared" si="13"/>
        <v>671.22500000000002</v>
      </c>
      <c r="W54" s="267">
        <f t="shared" si="13"/>
        <v>502.33333333333331</v>
      </c>
      <c r="X54" s="269">
        <f t="shared" si="13"/>
        <v>241.75</v>
      </c>
      <c r="Y54" s="270"/>
      <c r="Z54" s="251"/>
      <c r="AA54" s="271" t="s">
        <v>31</v>
      </c>
      <c r="AB54" s="272" t="s">
        <v>32</v>
      </c>
      <c r="AC54" s="53" t="s">
        <v>33</v>
      </c>
      <c r="AD54" s="53" t="s">
        <v>34</v>
      </c>
      <c r="AE54" s="272" t="s">
        <v>36</v>
      </c>
      <c r="AF54" s="273" t="s">
        <v>42</v>
      </c>
      <c r="AG54" s="273" t="s">
        <v>43</v>
      </c>
      <c r="AH54" s="273" t="s">
        <v>44</v>
      </c>
      <c r="AI54" s="274" t="s">
        <v>45</v>
      </c>
      <c r="AJ54" s="274" t="s">
        <v>46</v>
      </c>
      <c r="AK54" s="274" t="s">
        <v>47</v>
      </c>
      <c r="AL54" s="274" t="s">
        <v>48</v>
      </c>
      <c r="AM54" s="274" t="s">
        <v>49</v>
      </c>
      <c r="AN54" s="275" t="s">
        <v>50</v>
      </c>
    </row>
    <row r="55" spans="2:41" x14ac:dyDescent="0.25">
      <c r="B55" s="263" t="s">
        <v>55</v>
      </c>
      <c r="C55" s="264" t="s">
        <v>60</v>
      </c>
      <c r="D55" s="265">
        <v>1</v>
      </c>
      <c r="E55" s="266">
        <f t="shared" ref="E55:H55" si="14">AVERAGE(E24:E27)</f>
        <v>0</v>
      </c>
      <c r="F55" s="266">
        <f t="shared" si="14"/>
        <v>0</v>
      </c>
      <c r="G55" s="267">
        <f t="shared" si="14"/>
        <v>48.8125</v>
      </c>
      <c r="H55" s="267">
        <f t="shared" si="14"/>
        <v>43.465909125000003</v>
      </c>
      <c r="I55" s="267"/>
      <c r="J55" s="265">
        <v>0</v>
      </c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9"/>
      <c r="Y55" s="270"/>
      <c r="Z55" s="276" t="s">
        <v>61</v>
      </c>
      <c r="AA55" s="277">
        <v>0</v>
      </c>
      <c r="AB55" s="278">
        <v>0</v>
      </c>
      <c r="AC55" s="279">
        <v>55.47480625</v>
      </c>
      <c r="AD55" s="279">
        <v>36.079545474999996</v>
      </c>
      <c r="AE55" s="280">
        <v>0</v>
      </c>
      <c r="AF55" s="278">
        <v>0.30830582249999999</v>
      </c>
      <c r="AG55" s="278">
        <v>0.56205270666666662</v>
      </c>
      <c r="AH55" s="278">
        <v>1.86013889</v>
      </c>
      <c r="AI55" s="278">
        <v>49.2</v>
      </c>
      <c r="AJ55" s="278">
        <v>29</v>
      </c>
      <c r="AK55" s="278">
        <v>15</v>
      </c>
      <c r="AL55" s="278">
        <v>671.22500000000002</v>
      </c>
      <c r="AM55" s="278">
        <v>502.33333333333331</v>
      </c>
      <c r="AN55" s="281">
        <v>241.75</v>
      </c>
    </row>
    <row r="56" spans="2:41" x14ac:dyDescent="0.25">
      <c r="B56" s="263" t="s">
        <v>55</v>
      </c>
      <c r="C56" s="264" t="s">
        <v>60</v>
      </c>
      <c r="D56" s="265">
        <v>2</v>
      </c>
      <c r="E56" s="266">
        <f t="shared" ref="E56:H56" si="15">AVERAGE(E28:E31)</f>
        <v>0</v>
      </c>
      <c r="F56" s="266">
        <f t="shared" si="15"/>
        <v>0</v>
      </c>
      <c r="G56" s="267">
        <f t="shared" si="15"/>
        <v>45.06</v>
      </c>
      <c r="H56" s="267">
        <f t="shared" si="15"/>
        <v>38.494318200000002</v>
      </c>
      <c r="I56" s="267"/>
      <c r="J56" s="265">
        <v>0</v>
      </c>
      <c r="K56" s="267"/>
      <c r="L56" s="267"/>
      <c r="M56" s="267"/>
      <c r="N56" s="267"/>
      <c r="O56" s="267"/>
      <c r="P56" s="267">
        <f t="shared" ref="P56:X56" si="16">AVERAGE(P28:P31)</f>
        <v>0.19070846</v>
      </c>
      <c r="Q56" s="267">
        <f t="shared" si="16"/>
        <v>0.45531728500000002</v>
      </c>
      <c r="R56" s="267">
        <f t="shared" si="16"/>
        <v>2.5843181824999997</v>
      </c>
      <c r="S56" s="267">
        <f t="shared" si="16"/>
        <v>79.800000000000011</v>
      </c>
      <c r="T56" s="267">
        <f t="shared" si="16"/>
        <v>30.625</v>
      </c>
      <c r="U56" s="267">
        <f t="shared" si="16"/>
        <v>12.25</v>
      </c>
      <c r="V56" s="267">
        <f t="shared" si="16"/>
        <v>664.7</v>
      </c>
      <c r="W56" s="267">
        <f t="shared" si="16"/>
        <v>553.75</v>
      </c>
      <c r="X56" s="269">
        <f t="shared" si="16"/>
        <v>631.5</v>
      </c>
      <c r="Y56" s="270"/>
      <c r="Z56" s="282" t="s">
        <v>62</v>
      </c>
      <c r="AA56" s="283">
        <v>0</v>
      </c>
      <c r="AB56" s="267">
        <v>0</v>
      </c>
      <c r="AC56" s="284">
        <v>45.06</v>
      </c>
      <c r="AD56" s="284">
        <v>38.494318200000002</v>
      </c>
      <c r="AE56" s="264">
        <v>0</v>
      </c>
      <c r="AF56" s="267">
        <v>0.19070846</v>
      </c>
      <c r="AG56" s="267">
        <v>0.45531728500000002</v>
      </c>
      <c r="AH56" s="267">
        <v>2.5843181824999997</v>
      </c>
      <c r="AI56" s="267">
        <v>79.800000000000011</v>
      </c>
      <c r="AJ56" s="267">
        <v>30.625</v>
      </c>
      <c r="AK56" s="267">
        <v>12.25</v>
      </c>
      <c r="AL56" s="267">
        <v>664.7</v>
      </c>
      <c r="AM56" s="267">
        <v>553.75</v>
      </c>
      <c r="AN56" s="269">
        <v>631.5</v>
      </c>
    </row>
    <row r="57" spans="2:41" x14ac:dyDescent="0.25">
      <c r="B57" s="263" t="s">
        <v>55</v>
      </c>
      <c r="C57" s="264" t="s">
        <v>1</v>
      </c>
      <c r="D57" s="265">
        <v>0</v>
      </c>
      <c r="E57" s="267">
        <f t="shared" ref="E57:H57" si="17">AVERAGE(E32:E35)</f>
        <v>79.798599325000012</v>
      </c>
      <c r="F57" s="267">
        <f t="shared" si="17"/>
        <v>21.998960367499997</v>
      </c>
      <c r="G57" s="267">
        <f t="shared" si="17"/>
        <v>80.586666666666659</v>
      </c>
      <c r="H57" s="267">
        <f t="shared" si="17"/>
        <v>46.732954550000002</v>
      </c>
      <c r="I57" s="267"/>
      <c r="J57" s="267">
        <f>AVERAGE(J32:J35)</f>
        <v>80.262500000000003</v>
      </c>
      <c r="K57" s="267"/>
      <c r="L57" s="267"/>
      <c r="M57" s="267"/>
      <c r="N57" s="267"/>
      <c r="O57" s="267"/>
      <c r="P57" s="267">
        <f t="shared" ref="P57:X57" si="18">AVERAGE(P32:P35)</f>
        <v>0.30711436333333331</v>
      </c>
      <c r="Q57" s="267">
        <f t="shared" si="18"/>
        <v>0.36546181750000001</v>
      </c>
      <c r="R57" s="267">
        <f t="shared" si="18"/>
        <v>1.2754960333333332</v>
      </c>
      <c r="S57" s="267">
        <f t="shared" si="18"/>
        <v>66.875</v>
      </c>
      <c r="T57" s="267">
        <f t="shared" si="18"/>
        <v>21.925000000000001</v>
      </c>
      <c r="U57" s="267">
        <f t="shared" si="18"/>
        <v>14</v>
      </c>
      <c r="V57" s="267">
        <f t="shared" si="18"/>
        <v>635.29999999999995</v>
      </c>
      <c r="W57" s="267">
        <f t="shared" si="18"/>
        <v>306.5</v>
      </c>
      <c r="X57" s="269">
        <f t="shared" si="18"/>
        <v>146.66666666666666</v>
      </c>
      <c r="Y57" s="270"/>
      <c r="Z57" s="282" t="s">
        <v>63</v>
      </c>
      <c r="AA57" s="283">
        <v>79.798599325000012</v>
      </c>
      <c r="AB57" s="267">
        <v>21.998960367499997</v>
      </c>
      <c r="AC57" s="284">
        <v>60.69</v>
      </c>
      <c r="AD57" s="284">
        <v>46.732954550000002</v>
      </c>
      <c r="AE57" s="267">
        <v>80.262500000000003</v>
      </c>
      <c r="AF57" s="267">
        <v>0.30711436333333331</v>
      </c>
      <c r="AG57" s="267">
        <v>0.36546181750000001</v>
      </c>
      <c r="AH57" s="267">
        <v>1.2754960333333332</v>
      </c>
      <c r="AI57" s="267">
        <v>66.875</v>
      </c>
      <c r="AJ57" s="267">
        <v>21.925000000000001</v>
      </c>
      <c r="AK57" s="267">
        <v>14</v>
      </c>
      <c r="AL57" s="267">
        <v>635.29999999999995</v>
      </c>
      <c r="AM57" s="267">
        <v>306.5</v>
      </c>
      <c r="AN57" s="269">
        <v>146.66666666666666</v>
      </c>
    </row>
    <row r="58" spans="2:41" x14ac:dyDescent="0.25">
      <c r="B58" s="263" t="s">
        <v>55</v>
      </c>
      <c r="C58" s="264" t="s">
        <v>1</v>
      </c>
      <c r="D58" s="265">
        <v>1</v>
      </c>
      <c r="E58" s="267">
        <f t="shared" ref="E58:H58" si="19">AVERAGE(E36:E39)</f>
        <v>77.751536092500004</v>
      </c>
      <c r="F58" s="267">
        <f t="shared" si="19"/>
        <v>17.61079110975</v>
      </c>
      <c r="G58" s="267">
        <f t="shared" si="19"/>
        <v>92.659883825000009</v>
      </c>
      <c r="H58" s="267">
        <f t="shared" si="19"/>
        <v>44.88636365</v>
      </c>
      <c r="I58" s="267"/>
      <c r="J58" s="267">
        <f>AVERAGE(J36:J39)</f>
        <v>65.734999999999999</v>
      </c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9"/>
      <c r="Y58" s="270"/>
      <c r="Z58" s="285" t="s">
        <v>64</v>
      </c>
      <c r="AA58" s="286">
        <v>76.604635217500004</v>
      </c>
      <c r="AB58" s="287">
        <v>19.964391294999999</v>
      </c>
      <c r="AC58" s="288">
        <v>89.147500000000008</v>
      </c>
      <c r="AD58" s="288">
        <v>56.250000024999999</v>
      </c>
      <c r="AE58" s="287">
        <v>50.96</v>
      </c>
      <c r="AF58" s="287">
        <v>0.14057458333333334</v>
      </c>
      <c r="AG58" s="287">
        <v>0.22658997333333333</v>
      </c>
      <c r="AH58" s="287">
        <v>1.6257575766666665</v>
      </c>
      <c r="AI58" s="287">
        <v>149.03333333333333</v>
      </c>
      <c r="AJ58" s="287">
        <v>31.5</v>
      </c>
      <c r="AK58" s="287">
        <v>19.333333333333332</v>
      </c>
      <c r="AL58" s="287">
        <v>650.9</v>
      </c>
      <c r="AM58" s="287">
        <v>405.33333333333331</v>
      </c>
      <c r="AN58" s="289">
        <v>714</v>
      </c>
    </row>
    <row r="59" spans="2:41" x14ac:dyDescent="0.25">
      <c r="B59" s="290" t="s">
        <v>55</v>
      </c>
      <c r="C59" s="291" t="s">
        <v>1</v>
      </c>
      <c r="D59" s="292">
        <v>2</v>
      </c>
      <c r="E59" s="287">
        <f t="shared" ref="E59:H59" si="20">AVERAGE(E40:E43)</f>
        <v>76.604635217500004</v>
      </c>
      <c r="F59" s="287">
        <f t="shared" si="20"/>
        <v>19.964391294999999</v>
      </c>
      <c r="G59" s="287">
        <f t="shared" si="20"/>
        <v>89.147500000000008</v>
      </c>
      <c r="H59" s="287">
        <f t="shared" si="20"/>
        <v>56.250000024999999</v>
      </c>
      <c r="I59" s="267"/>
      <c r="J59" s="287">
        <f>AVERAGE(J40:J43)</f>
        <v>50.96</v>
      </c>
      <c r="K59" s="287"/>
      <c r="L59" s="287"/>
      <c r="M59" s="287"/>
      <c r="N59" s="287"/>
      <c r="O59" s="287"/>
      <c r="P59" s="287">
        <f t="shared" ref="P59:X59" si="21">AVERAGE(P40:P43)</f>
        <v>0.14057458333333334</v>
      </c>
      <c r="Q59" s="287">
        <f t="shared" si="21"/>
        <v>0.22658997333333333</v>
      </c>
      <c r="R59" s="287">
        <f t="shared" si="21"/>
        <v>1.6257575766666665</v>
      </c>
      <c r="S59" s="287">
        <f t="shared" si="21"/>
        <v>149.03333333333333</v>
      </c>
      <c r="T59" s="287">
        <f t="shared" si="21"/>
        <v>31.5</v>
      </c>
      <c r="U59" s="287">
        <f t="shared" si="21"/>
        <v>19.333333333333332</v>
      </c>
      <c r="V59" s="287">
        <f t="shared" si="21"/>
        <v>650.9</v>
      </c>
      <c r="W59" s="287">
        <f t="shared" si="21"/>
        <v>405.33333333333331</v>
      </c>
      <c r="X59" s="289">
        <f t="shared" si="21"/>
        <v>714</v>
      </c>
      <c r="Y59" s="270"/>
      <c r="Z59" s="251"/>
      <c r="AA59" s="251"/>
      <c r="AB59" s="251"/>
      <c r="AC59" s="251"/>
      <c r="AD59" s="251"/>
      <c r="AE59" s="251"/>
      <c r="AF59" s="251"/>
      <c r="AG59" s="251"/>
      <c r="AH59" s="251"/>
      <c r="AI59" s="251"/>
      <c r="AJ59" s="251"/>
      <c r="AK59" s="251"/>
      <c r="AL59" s="251"/>
      <c r="AM59" s="251"/>
      <c r="AN59" s="251"/>
      <c r="AO59" s="251"/>
    </row>
    <row r="60" spans="2:41" x14ac:dyDescent="0.25">
      <c r="B60" s="251"/>
      <c r="C60" s="251"/>
      <c r="D60" s="251"/>
      <c r="E60" s="293"/>
      <c r="F60" s="293"/>
      <c r="G60" s="294"/>
      <c r="H60" s="294"/>
      <c r="Z60" s="251"/>
      <c r="AA60" s="251"/>
      <c r="AB60" s="251"/>
      <c r="AC60" s="251"/>
      <c r="AD60" s="251"/>
      <c r="AE60" s="251"/>
      <c r="AF60" s="251"/>
      <c r="AG60" s="251"/>
      <c r="AH60" s="251"/>
      <c r="AI60" s="251"/>
      <c r="AJ60" s="251"/>
      <c r="AK60" s="251"/>
      <c r="AL60" s="251"/>
      <c r="AM60" s="251"/>
      <c r="AN60" s="251"/>
      <c r="AO60" s="251"/>
    </row>
    <row r="61" spans="2:41" x14ac:dyDescent="0.25">
      <c r="B61" s="251"/>
      <c r="C61" s="251"/>
      <c r="D61" s="251"/>
      <c r="E61" s="295"/>
      <c r="F61" s="295"/>
      <c r="G61" s="252"/>
      <c r="H61" s="252"/>
      <c r="Z61" s="251"/>
      <c r="AA61" s="251"/>
      <c r="AB61" s="251"/>
      <c r="AC61" s="251"/>
      <c r="AD61" s="251"/>
      <c r="AE61" s="251"/>
      <c r="AF61" s="251"/>
      <c r="AG61" s="251"/>
      <c r="AH61" s="251"/>
      <c r="AI61" s="251"/>
      <c r="AJ61" s="251"/>
      <c r="AK61" s="251"/>
      <c r="AL61" s="251"/>
      <c r="AM61" s="251"/>
      <c r="AN61" s="251"/>
      <c r="AO61" s="251"/>
    </row>
    <row r="62" spans="2:41" x14ac:dyDescent="0.25">
      <c r="B62" s="251"/>
      <c r="C62" s="251"/>
      <c r="D62" s="251"/>
      <c r="E62" s="295"/>
      <c r="F62" s="295"/>
      <c r="G62" s="252"/>
      <c r="H62" s="252"/>
      <c r="Z62" s="251"/>
      <c r="AA62" s="251"/>
      <c r="AB62" s="251"/>
      <c r="AC62" s="251"/>
      <c r="AD62" s="251"/>
      <c r="AE62" s="251"/>
      <c r="AF62" s="251"/>
      <c r="AG62" s="251"/>
      <c r="AH62" s="251"/>
      <c r="AI62" s="251"/>
      <c r="AJ62" s="251"/>
      <c r="AK62" s="251"/>
      <c r="AL62" s="251"/>
      <c r="AM62" s="251"/>
      <c r="AN62" s="251"/>
      <c r="AO62" s="251"/>
    </row>
    <row r="63" spans="2:41" x14ac:dyDescent="0.25">
      <c r="B63" s="251"/>
      <c r="C63" s="251"/>
      <c r="D63" s="251"/>
      <c r="E63" s="295"/>
      <c r="F63" s="295"/>
      <c r="G63" s="252"/>
      <c r="H63" s="252"/>
      <c r="Z63" s="251"/>
      <c r="AA63" s="251"/>
      <c r="AB63" s="251"/>
      <c r="AC63" s="251"/>
      <c r="AD63" s="251"/>
      <c r="AE63" s="251"/>
      <c r="AF63" s="251"/>
      <c r="AG63" s="251"/>
      <c r="AH63" s="251"/>
      <c r="AI63" s="251"/>
      <c r="AJ63" s="251"/>
      <c r="AK63" s="251"/>
      <c r="AL63" s="251"/>
      <c r="AM63" s="251"/>
      <c r="AN63" s="251"/>
      <c r="AO63" s="251"/>
    </row>
    <row r="64" spans="2:41" x14ac:dyDescent="0.25">
      <c r="B64" s="251"/>
      <c r="C64" s="251"/>
      <c r="D64" s="251"/>
      <c r="E64" s="295"/>
      <c r="F64" s="295"/>
      <c r="G64" s="252"/>
      <c r="H64" s="252"/>
      <c r="Z64" s="251"/>
      <c r="AA64" s="251"/>
      <c r="AB64" s="251"/>
      <c r="AC64" s="251"/>
      <c r="AD64" s="251"/>
      <c r="AE64" s="251"/>
      <c r="AF64" s="251"/>
      <c r="AG64" s="251"/>
      <c r="AH64" s="251"/>
      <c r="AI64" s="251"/>
      <c r="AJ64" s="251"/>
      <c r="AK64" s="251"/>
      <c r="AL64" s="251"/>
      <c r="AM64" s="251"/>
      <c r="AN64" s="251"/>
      <c r="AO64" s="251"/>
    </row>
    <row r="65" spans="2:41" x14ac:dyDescent="0.25">
      <c r="B65" s="251"/>
      <c r="C65" s="251"/>
      <c r="D65" s="251"/>
      <c r="E65" s="251"/>
      <c r="F65" s="251"/>
      <c r="G65" s="252"/>
      <c r="H65" s="253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51"/>
      <c r="AC65" s="251"/>
      <c r="AD65" s="251"/>
      <c r="AE65" s="251"/>
      <c r="AF65" s="251"/>
      <c r="AG65" s="251"/>
      <c r="AH65" s="251"/>
      <c r="AI65" s="251"/>
      <c r="AJ65" s="251"/>
      <c r="AK65" s="251"/>
      <c r="AL65" s="251"/>
      <c r="AM65" s="251"/>
      <c r="AN65" s="251"/>
      <c r="AO65" s="251"/>
    </row>
    <row r="66" spans="2:41" x14ac:dyDescent="0.25">
      <c r="B66" s="251"/>
      <c r="C66" s="251"/>
      <c r="D66" s="251"/>
      <c r="E66" s="251"/>
      <c r="F66" s="251"/>
      <c r="G66" s="252"/>
      <c r="H66" s="253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51"/>
      <c r="AG66" s="251"/>
      <c r="AH66" s="251"/>
      <c r="AI66" s="251"/>
      <c r="AJ66" s="251"/>
      <c r="AK66" s="251"/>
      <c r="AL66" s="251"/>
      <c r="AM66" s="251"/>
      <c r="AN66" s="251"/>
      <c r="AO66" s="251"/>
    </row>
    <row r="67" spans="2:41" x14ac:dyDescent="0.25">
      <c r="B67" s="251"/>
      <c r="C67" s="251"/>
      <c r="D67" s="251"/>
      <c r="E67" s="251"/>
      <c r="F67" s="251"/>
      <c r="G67" s="252"/>
      <c r="H67" s="253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</row>
    <row r="68" spans="2:41" x14ac:dyDescent="0.25">
      <c r="B68" s="251"/>
      <c r="C68" s="251"/>
      <c r="D68" s="251"/>
      <c r="E68" s="251"/>
      <c r="F68" s="251"/>
      <c r="G68" s="252"/>
      <c r="H68" s="253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251"/>
      <c r="AB68" s="251"/>
      <c r="AC68" s="251"/>
      <c r="AD68" s="251"/>
      <c r="AE68" s="251"/>
      <c r="AF68" s="251"/>
      <c r="AG68" s="251"/>
      <c r="AH68" s="251"/>
      <c r="AI68" s="251"/>
      <c r="AJ68" s="251"/>
      <c r="AK68" s="251"/>
      <c r="AL68" s="251"/>
      <c r="AM68" s="251"/>
      <c r="AN68" s="251"/>
      <c r="AO68" s="251"/>
    </row>
    <row r="69" spans="2:41" x14ac:dyDescent="0.25">
      <c r="B69" s="251"/>
      <c r="C69" s="251"/>
      <c r="D69" s="251"/>
      <c r="E69" s="251"/>
      <c r="F69" s="251"/>
      <c r="G69" s="252"/>
      <c r="H69" s="253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251"/>
      <c r="AA69" s="251"/>
      <c r="AB69" s="251"/>
      <c r="AC69" s="251"/>
      <c r="AD69" s="251"/>
      <c r="AE69" s="251"/>
      <c r="AF69" s="251"/>
      <c r="AG69" s="251"/>
      <c r="AH69" s="251"/>
      <c r="AI69" s="251"/>
      <c r="AJ69" s="251"/>
      <c r="AK69" s="251"/>
      <c r="AL69" s="251"/>
      <c r="AM69" s="251"/>
      <c r="AN69" s="251"/>
      <c r="AO69" s="251"/>
    </row>
    <row r="70" spans="2:41" x14ac:dyDescent="0.25">
      <c r="B70" s="251"/>
      <c r="C70" s="251"/>
      <c r="D70" s="251"/>
      <c r="E70" s="251"/>
      <c r="F70" s="251"/>
      <c r="G70" s="252"/>
      <c r="H70" s="253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  <c r="AB70" s="251"/>
      <c r="AC70" s="251"/>
      <c r="AD70" s="251"/>
      <c r="AE70" s="251"/>
      <c r="AF70" s="251"/>
      <c r="AG70" s="251"/>
      <c r="AH70" s="251"/>
      <c r="AI70" s="251"/>
      <c r="AJ70" s="251"/>
      <c r="AK70" s="251"/>
      <c r="AL70" s="251"/>
      <c r="AM70" s="251"/>
      <c r="AN70" s="251"/>
      <c r="AO70" s="251"/>
    </row>
    <row r="71" spans="2:41" x14ac:dyDescent="0.25">
      <c r="B71" s="251"/>
      <c r="C71" s="251"/>
      <c r="D71" s="251"/>
      <c r="E71" s="251"/>
      <c r="F71" s="251"/>
      <c r="G71" s="252"/>
      <c r="H71" s="253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  <c r="AA71" s="251"/>
      <c r="AB71" s="251"/>
      <c r="AC71" s="251"/>
      <c r="AD71" s="251"/>
      <c r="AE71" s="251"/>
      <c r="AF71" s="251"/>
      <c r="AG71" s="251"/>
      <c r="AH71" s="251"/>
      <c r="AI71" s="251"/>
      <c r="AJ71" s="251"/>
      <c r="AK71" s="251"/>
      <c r="AL71" s="251"/>
      <c r="AM71" s="251"/>
      <c r="AN71" s="251"/>
      <c r="AO71" s="251"/>
    </row>
    <row r="72" spans="2:41" x14ac:dyDescent="0.25">
      <c r="B72" s="251"/>
      <c r="C72" s="251"/>
      <c r="D72" s="251"/>
      <c r="E72" s="251"/>
      <c r="F72" s="251"/>
      <c r="G72" s="252"/>
      <c r="H72" s="253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1"/>
      <c r="AB72" s="251"/>
      <c r="AC72" s="251"/>
      <c r="AD72" s="251"/>
      <c r="AE72" s="251"/>
      <c r="AF72" s="251"/>
      <c r="AG72" s="251"/>
      <c r="AH72" s="251"/>
      <c r="AI72" s="251"/>
      <c r="AJ72" s="251"/>
      <c r="AK72" s="251"/>
      <c r="AL72" s="251"/>
      <c r="AM72" s="251"/>
      <c r="AN72" s="251"/>
      <c r="AO72" s="251"/>
    </row>
    <row r="73" spans="2:41" x14ac:dyDescent="0.25">
      <c r="B73" s="251"/>
      <c r="C73" s="251"/>
      <c r="D73" s="251"/>
      <c r="E73" s="251"/>
      <c r="F73" s="251"/>
      <c r="G73" s="252"/>
      <c r="H73" s="253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1"/>
      <c r="AM73" s="251"/>
      <c r="AN73" s="251"/>
      <c r="AO73" s="251"/>
    </row>
    <row r="74" spans="2:41" x14ac:dyDescent="0.25">
      <c r="B74" s="251"/>
      <c r="C74" s="251"/>
      <c r="D74" s="251"/>
      <c r="E74" s="251"/>
      <c r="F74" s="251"/>
      <c r="G74" s="252"/>
      <c r="H74" s="253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51"/>
      <c r="AC74" s="251"/>
      <c r="AD74" s="251"/>
      <c r="AE74" s="251"/>
      <c r="AF74" s="251"/>
      <c r="AG74" s="251"/>
      <c r="AH74" s="251"/>
      <c r="AI74" s="251"/>
      <c r="AJ74" s="251"/>
      <c r="AK74" s="251"/>
      <c r="AL74" s="251"/>
      <c r="AM74" s="251"/>
      <c r="AN74" s="251"/>
      <c r="AO74" s="251"/>
    </row>
    <row r="75" spans="2:41" x14ac:dyDescent="0.25">
      <c r="B75" s="251"/>
      <c r="C75" s="251"/>
      <c r="D75" s="251"/>
      <c r="E75" s="251"/>
      <c r="F75" s="251"/>
      <c r="G75" s="252"/>
      <c r="H75" s="253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  <c r="AA75" s="251"/>
      <c r="AB75" s="251"/>
      <c r="AC75" s="251"/>
      <c r="AD75" s="251"/>
      <c r="AE75" s="251"/>
      <c r="AF75" s="251"/>
      <c r="AG75" s="251"/>
      <c r="AH75" s="251"/>
      <c r="AI75" s="251"/>
      <c r="AJ75" s="251"/>
      <c r="AK75" s="251"/>
      <c r="AL75" s="251"/>
      <c r="AM75" s="251"/>
      <c r="AN75" s="251"/>
      <c r="AO75" s="251"/>
    </row>
    <row r="76" spans="2:41" x14ac:dyDescent="0.25">
      <c r="B76" s="251"/>
      <c r="C76" s="251"/>
      <c r="D76" s="251"/>
      <c r="E76" s="251"/>
      <c r="F76" s="251"/>
      <c r="G76" s="252"/>
      <c r="H76" s="253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</row>
    <row r="77" spans="2:41" x14ac:dyDescent="0.25">
      <c r="B77" s="251"/>
      <c r="C77" s="251"/>
      <c r="D77" s="251"/>
      <c r="E77" s="251"/>
      <c r="F77" s="251"/>
      <c r="G77" s="252"/>
      <c r="H77" s="253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1"/>
      <c r="AC77" s="251"/>
      <c r="AD77" s="251"/>
      <c r="AE77" s="251"/>
      <c r="AF77" s="251"/>
      <c r="AG77" s="251"/>
      <c r="AH77" s="251"/>
      <c r="AI77" s="251"/>
      <c r="AJ77" s="251"/>
      <c r="AK77" s="251"/>
      <c r="AL77" s="251"/>
      <c r="AM77" s="251"/>
      <c r="AN77" s="251"/>
      <c r="AO77" s="251"/>
    </row>
    <row r="78" spans="2:41" x14ac:dyDescent="0.25">
      <c r="B78" s="251"/>
      <c r="C78" s="251"/>
      <c r="D78" s="251"/>
      <c r="E78" s="251"/>
      <c r="F78" s="251"/>
      <c r="G78" s="252"/>
      <c r="H78" s="253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  <c r="AA78" s="251"/>
      <c r="AB78" s="251"/>
      <c r="AC78" s="251"/>
      <c r="AD78" s="251"/>
      <c r="AE78" s="251"/>
      <c r="AF78" s="251"/>
      <c r="AG78" s="251"/>
      <c r="AH78" s="251"/>
      <c r="AI78" s="251"/>
      <c r="AJ78" s="251"/>
      <c r="AK78" s="251"/>
      <c r="AL78" s="251"/>
      <c r="AM78" s="251"/>
      <c r="AN78" s="251"/>
      <c r="AO78" s="251"/>
    </row>
    <row r="79" spans="2:41" x14ac:dyDescent="0.25">
      <c r="B79" s="251"/>
      <c r="C79" s="251"/>
      <c r="D79" s="251"/>
      <c r="E79" s="251"/>
      <c r="F79" s="251"/>
      <c r="G79" s="252"/>
      <c r="H79" s="253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  <c r="AA79" s="251"/>
      <c r="AB79" s="251"/>
      <c r="AC79" s="251"/>
      <c r="AD79" s="251"/>
      <c r="AE79" s="251"/>
      <c r="AF79" s="251"/>
      <c r="AG79" s="251"/>
      <c r="AH79" s="251"/>
      <c r="AI79" s="251"/>
      <c r="AJ79" s="251"/>
      <c r="AK79" s="251"/>
      <c r="AL79" s="251"/>
      <c r="AM79" s="251"/>
      <c r="AN79" s="251"/>
      <c r="AO79" s="251"/>
    </row>
    <row r="80" spans="2:41" x14ac:dyDescent="0.25">
      <c r="B80" s="251"/>
      <c r="C80" s="251"/>
      <c r="D80" s="251"/>
      <c r="E80" s="251"/>
      <c r="F80" s="251"/>
      <c r="G80" s="252"/>
      <c r="H80" s="253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  <c r="AA80" s="251"/>
      <c r="AB80" s="251"/>
      <c r="AC80" s="251"/>
      <c r="AD80" s="251"/>
      <c r="AE80" s="251"/>
      <c r="AF80" s="251"/>
      <c r="AG80" s="251"/>
      <c r="AH80" s="251"/>
      <c r="AI80" s="251"/>
      <c r="AJ80" s="251"/>
      <c r="AK80" s="251"/>
      <c r="AL80" s="251"/>
      <c r="AM80" s="251"/>
      <c r="AN80" s="251"/>
      <c r="AO80" s="251"/>
    </row>
    <row r="81" spans="2:41" x14ac:dyDescent="0.25">
      <c r="B81" s="251"/>
      <c r="C81" s="251"/>
      <c r="D81" s="251"/>
      <c r="E81" s="251"/>
      <c r="F81" s="251"/>
      <c r="G81" s="252"/>
      <c r="H81" s="253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  <c r="AA81" s="251"/>
      <c r="AB81" s="251"/>
      <c r="AC81" s="251"/>
      <c r="AD81" s="251"/>
      <c r="AE81" s="251"/>
      <c r="AF81" s="251"/>
      <c r="AG81" s="251"/>
      <c r="AH81" s="251"/>
      <c r="AI81" s="251"/>
      <c r="AJ81" s="251"/>
      <c r="AK81" s="251"/>
      <c r="AL81" s="251"/>
      <c r="AM81" s="251"/>
      <c r="AN81" s="251"/>
      <c r="AO81" s="251"/>
    </row>
    <row r="82" spans="2:41" x14ac:dyDescent="0.25">
      <c r="B82" s="251"/>
      <c r="C82" s="251"/>
      <c r="D82" s="251"/>
      <c r="E82" s="251"/>
      <c r="F82" s="251"/>
      <c r="G82" s="252"/>
      <c r="H82" s="253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  <c r="AA82" s="251"/>
      <c r="AB82" s="251"/>
      <c r="AC82" s="251"/>
      <c r="AD82" s="251"/>
      <c r="AE82" s="251"/>
      <c r="AF82" s="251"/>
      <c r="AG82" s="251"/>
      <c r="AH82" s="251"/>
      <c r="AI82" s="251"/>
      <c r="AJ82" s="251"/>
      <c r="AK82" s="251"/>
      <c r="AL82" s="251"/>
      <c r="AM82" s="251"/>
      <c r="AN82" s="251"/>
      <c r="AO82" s="251"/>
    </row>
    <row r="83" spans="2:41" x14ac:dyDescent="0.25">
      <c r="B83" s="251"/>
      <c r="C83" s="251"/>
      <c r="D83" s="251"/>
      <c r="E83" s="251"/>
      <c r="F83" s="251"/>
      <c r="G83" s="252"/>
      <c r="H83" s="253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  <c r="AA83" s="251"/>
      <c r="AB83" s="251"/>
      <c r="AC83" s="251"/>
      <c r="AD83" s="251"/>
      <c r="AE83" s="251"/>
      <c r="AF83" s="251"/>
      <c r="AG83" s="251"/>
      <c r="AH83" s="251"/>
      <c r="AI83" s="251"/>
      <c r="AJ83" s="251"/>
      <c r="AK83" s="251"/>
      <c r="AL83" s="251"/>
      <c r="AM83" s="251"/>
      <c r="AN83" s="251"/>
      <c r="AO83" s="251"/>
    </row>
    <row r="84" spans="2:41" x14ac:dyDescent="0.25">
      <c r="B84" s="251"/>
      <c r="C84" s="251"/>
      <c r="D84" s="251"/>
      <c r="E84" s="251"/>
      <c r="F84" s="251"/>
      <c r="G84" s="252"/>
      <c r="H84" s="253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51"/>
      <c r="AC84" s="251"/>
      <c r="AD84" s="251"/>
      <c r="AE84" s="251"/>
      <c r="AF84" s="251"/>
      <c r="AG84" s="251"/>
      <c r="AH84" s="251"/>
      <c r="AI84" s="251"/>
      <c r="AJ84" s="251"/>
      <c r="AK84" s="251"/>
      <c r="AL84" s="251"/>
      <c r="AM84" s="251"/>
      <c r="AN84" s="251"/>
      <c r="AO84" s="251"/>
    </row>
    <row r="85" spans="2:41" x14ac:dyDescent="0.25">
      <c r="B85" s="251"/>
      <c r="C85" s="251"/>
      <c r="D85" s="251"/>
      <c r="E85" s="251"/>
      <c r="F85" s="251"/>
      <c r="G85" s="252"/>
      <c r="H85" s="253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</row>
    <row r="86" spans="2:41" x14ac:dyDescent="0.25">
      <c r="B86" s="251"/>
      <c r="C86" s="251"/>
      <c r="D86" s="251"/>
      <c r="E86" s="251"/>
      <c r="F86" s="251"/>
      <c r="G86" s="252"/>
      <c r="H86" s="253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  <c r="AA86" s="251"/>
      <c r="AB86" s="251"/>
      <c r="AC86" s="251"/>
      <c r="AD86" s="251"/>
      <c r="AE86" s="251"/>
      <c r="AF86" s="251"/>
      <c r="AG86" s="251"/>
      <c r="AH86" s="251"/>
      <c r="AI86" s="251"/>
      <c r="AJ86" s="251"/>
      <c r="AK86" s="251"/>
      <c r="AL86" s="251"/>
      <c r="AM86" s="251"/>
      <c r="AN86" s="251"/>
      <c r="AO86" s="251"/>
    </row>
    <row r="87" spans="2:41" x14ac:dyDescent="0.25">
      <c r="B87" s="251"/>
      <c r="C87" s="251"/>
      <c r="D87" s="251"/>
      <c r="E87" s="251"/>
      <c r="F87" s="251"/>
      <c r="G87" s="252"/>
      <c r="H87" s="253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1"/>
      <c r="AA87" s="251"/>
      <c r="AB87" s="251"/>
      <c r="AC87" s="251"/>
      <c r="AD87" s="251"/>
      <c r="AE87" s="251"/>
      <c r="AF87" s="251"/>
      <c r="AG87" s="251"/>
      <c r="AH87" s="251"/>
      <c r="AI87" s="251"/>
      <c r="AJ87" s="251"/>
      <c r="AK87" s="251"/>
      <c r="AL87" s="251"/>
      <c r="AM87" s="251"/>
      <c r="AN87" s="251"/>
      <c r="AO87" s="251"/>
    </row>
    <row r="88" spans="2:41" x14ac:dyDescent="0.25">
      <c r="B88" s="251"/>
      <c r="C88" s="251"/>
      <c r="D88" s="251"/>
      <c r="E88" s="251"/>
      <c r="F88" s="251"/>
      <c r="G88" s="252"/>
      <c r="H88" s="253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  <c r="AA88" s="251"/>
      <c r="AB88" s="251"/>
      <c r="AC88" s="251"/>
      <c r="AD88" s="251"/>
      <c r="AE88" s="251"/>
      <c r="AF88" s="251"/>
      <c r="AG88" s="251"/>
      <c r="AH88" s="251"/>
      <c r="AI88" s="251"/>
      <c r="AJ88" s="251"/>
      <c r="AK88" s="251"/>
      <c r="AL88" s="251"/>
      <c r="AM88" s="251"/>
      <c r="AN88" s="251"/>
      <c r="AO88" s="251"/>
    </row>
    <row r="89" spans="2:41" x14ac:dyDescent="0.25">
      <c r="B89" s="251"/>
      <c r="C89" s="251"/>
      <c r="D89" s="251"/>
      <c r="E89" s="251"/>
      <c r="F89" s="251"/>
      <c r="G89" s="252"/>
      <c r="H89" s="253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  <c r="AA89" s="251"/>
      <c r="AB89" s="251"/>
      <c r="AC89" s="251"/>
      <c r="AD89" s="251"/>
      <c r="AE89" s="251"/>
      <c r="AF89" s="251"/>
      <c r="AG89" s="251"/>
      <c r="AH89" s="251"/>
      <c r="AI89" s="251"/>
      <c r="AJ89" s="251"/>
      <c r="AK89" s="251"/>
      <c r="AL89" s="251"/>
      <c r="AM89" s="251"/>
      <c r="AN89" s="251"/>
      <c r="AO89" s="251"/>
    </row>
    <row r="90" spans="2:41" x14ac:dyDescent="0.25">
      <c r="B90" s="251"/>
      <c r="C90" s="251"/>
      <c r="D90" s="251"/>
      <c r="E90" s="251"/>
      <c r="F90" s="251"/>
      <c r="G90" s="252"/>
      <c r="H90" s="253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  <c r="AA90" s="251"/>
      <c r="AB90" s="251"/>
      <c r="AC90" s="251"/>
      <c r="AD90" s="251"/>
      <c r="AE90" s="251"/>
      <c r="AF90" s="251"/>
      <c r="AG90" s="251"/>
      <c r="AH90" s="251"/>
      <c r="AI90" s="251"/>
      <c r="AJ90" s="251"/>
      <c r="AK90" s="251"/>
      <c r="AL90" s="251"/>
      <c r="AM90" s="251"/>
      <c r="AN90" s="251"/>
      <c r="AO90" s="251"/>
    </row>
    <row r="91" spans="2:41" x14ac:dyDescent="0.25">
      <c r="B91" s="251"/>
      <c r="C91" s="251"/>
      <c r="D91" s="251"/>
      <c r="E91" s="251"/>
      <c r="F91" s="251"/>
      <c r="G91" s="252"/>
      <c r="H91" s="253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  <c r="AA91" s="251"/>
      <c r="AB91" s="251"/>
      <c r="AC91" s="251"/>
      <c r="AD91" s="251"/>
      <c r="AE91" s="251"/>
      <c r="AF91" s="251"/>
      <c r="AG91" s="251"/>
      <c r="AH91" s="251"/>
      <c r="AI91" s="251"/>
      <c r="AJ91" s="251"/>
      <c r="AK91" s="251"/>
      <c r="AL91" s="251"/>
      <c r="AM91" s="251"/>
      <c r="AN91" s="251"/>
      <c r="AO91" s="251"/>
    </row>
    <row r="92" spans="2:41" x14ac:dyDescent="0.25">
      <c r="B92" s="251"/>
      <c r="C92" s="251"/>
      <c r="D92" s="251"/>
      <c r="E92" s="251"/>
      <c r="F92" s="251"/>
      <c r="G92" s="252"/>
      <c r="H92" s="253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51"/>
      <c r="AO92" s="251"/>
    </row>
    <row r="93" spans="2:41" x14ac:dyDescent="0.25">
      <c r="B93" s="251"/>
      <c r="C93" s="251"/>
      <c r="D93" s="251"/>
      <c r="E93" s="251"/>
      <c r="F93" s="251"/>
      <c r="G93" s="252"/>
      <c r="H93" s="253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</row>
    <row r="94" spans="2:41" x14ac:dyDescent="0.25">
      <c r="B94" s="251"/>
      <c r="C94" s="251"/>
      <c r="D94" s="251"/>
      <c r="E94" s="251"/>
      <c r="F94" s="251"/>
      <c r="G94" s="252"/>
      <c r="H94" s="253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  <c r="AA94" s="251"/>
      <c r="AB94" s="251"/>
      <c r="AC94" s="251"/>
      <c r="AD94" s="251"/>
      <c r="AE94" s="251"/>
      <c r="AF94" s="251"/>
      <c r="AG94" s="251"/>
      <c r="AH94" s="251"/>
      <c r="AI94" s="251"/>
      <c r="AJ94" s="251"/>
      <c r="AK94" s="251"/>
      <c r="AL94" s="251"/>
      <c r="AM94" s="251"/>
      <c r="AN94" s="251"/>
      <c r="AO94" s="251"/>
    </row>
    <row r="95" spans="2:41" x14ac:dyDescent="0.25">
      <c r="B95" s="251"/>
      <c r="C95" s="251"/>
      <c r="D95" s="251"/>
      <c r="E95" s="251"/>
      <c r="F95" s="251"/>
      <c r="G95" s="252"/>
      <c r="H95" s="253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251"/>
      <c r="AA95" s="251"/>
      <c r="AB95" s="251"/>
      <c r="AC95" s="251"/>
      <c r="AD95" s="251"/>
      <c r="AE95" s="251"/>
      <c r="AF95" s="251"/>
      <c r="AG95" s="251"/>
      <c r="AH95" s="251"/>
      <c r="AI95" s="251"/>
      <c r="AJ95" s="251"/>
      <c r="AK95" s="251"/>
      <c r="AL95" s="251"/>
      <c r="AM95" s="251"/>
      <c r="AN95" s="251"/>
      <c r="AO95" s="251"/>
    </row>
    <row r="96" spans="2:41" x14ac:dyDescent="0.25">
      <c r="B96" s="251"/>
      <c r="C96" s="251"/>
      <c r="D96" s="251"/>
      <c r="E96" s="251"/>
      <c r="F96" s="251"/>
      <c r="G96" s="252"/>
      <c r="H96" s="253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  <c r="AA96" s="251"/>
      <c r="AB96" s="251"/>
      <c r="AC96" s="251"/>
      <c r="AD96" s="251"/>
      <c r="AE96" s="251"/>
      <c r="AF96" s="251"/>
      <c r="AG96" s="251"/>
      <c r="AH96" s="251"/>
      <c r="AI96" s="251"/>
      <c r="AJ96" s="251"/>
      <c r="AK96" s="251"/>
      <c r="AL96" s="251"/>
      <c r="AM96" s="251"/>
      <c r="AN96" s="251"/>
      <c r="AO96" s="251"/>
    </row>
    <row r="97" spans="2:41" x14ac:dyDescent="0.25">
      <c r="B97" s="251"/>
      <c r="C97" s="251"/>
      <c r="D97" s="251"/>
      <c r="E97" s="251"/>
      <c r="F97" s="251"/>
      <c r="G97" s="252"/>
      <c r="H97" s="253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  <c r="W97" s="251"/>
      <c r="X97" s="251"/>
      <c r="Y97" s="251"/>
      <c r="Z97" s="251"/>
      <c r="AA97" s="251"/>
      <c r="AB97" s="251"/>
      <c r="AC97" s="251"/>
      <c r="AD97" s="251"/>
      <c r="AE97" s="251"/>
      <c r="AF97" s="251"/>
      <c r="AG97" s="251"/>
      <c r="AH97" s="251"/>
      <c r="AI97" s="251"/>
      <c r="AJ97" s="251"/>
      <c r="AK97" s="251"/>
      <c r="AL97" s="251"/>
      <c r="AM97" s="251"/>
      <c r="AN97" s="251"/>
      <c r="AO97" s="251"/>
    </row>
    <row r="98" spans="2:41" x14ac:dyDescent="0.25">
      <c r="B98" s="251"/>
      <c r="C98" s="251"/>
      <c r="D98" s="251"/>
      <c r="E98" s="251"/>
      <c r="F98" s="251"/>
      <c r="G98" s="252"/>
      <c r="H98" s="253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51"/>
      <c r="AC98" s="251"/>
      <c r="AD98" s="251"/>
      <c r="AE98" s="251"/>
      <c r="AF98" s="251"/>
      <c r="AG98" s="251"/>
      <c r="AH98" s="251"/>
      <c r="AI98" s="251"/>
      <c r="AJ98" s="251"/>
      <c r="AK98" s="251"/>
      <c r="AL98" s="251"/>
      <c r="AM98" s="251"/>
      <c r="AN98" s="251"/>
      <c r="AO98" s="251"/>
    </row>
    <row r="99" spans="2:41" x14ac:dyDescent="0.25">
      <c r="B99" s="251"/>
      <c r="C99" s="251"/>
      <c r="D99" s="251"/>
      <c r="E99" s="251"/>
      <c r="F99" s="251"/>
      <c r="G99" s="252"/>
      <c r="H99" s="253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  <c r="AA99" s="251"/>
      <c r="AB99" s="251"/>
      <c r="AC99" s="251"/>
      <c r="AD99" s="251"/>
      <c r="AE99" s="251"/>
      <c r="AF99" s="251"/>
      <c r="AG99" s="251"/>
      <c r="AH99" s="251"/>
      <c r="AI99" s="251"/>
      <c r="AJ99" s="251"/>
      <c r="AK99" s="251"/>
      <c r="AL99" s="251"/>
      <c r="AM99" s="251"/>
      <c r="AN99" s="251"/>
      <c r="AO99" s="251"/>
    </row>
    <row r="100" spans="2:41" x14ac:dyDescent="0.25">
      <c r="B100" s="251"/>
      <c r="C100" s="251"/>
      <c r="D100" s="251"/>
      <c r="E100" s="251"/>
      <c r="F100" s="251"/>
      <c r="G100" s="252"/>
      <c r="H100" s="253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  <c r="AA100" s="251"/>
      <c r="AB100" s="251"/>
      <c r="AC100" s="251"/>
      <c r="AD100" s="251"/>
      <c r="AE100" s="251"/>
      <c r="AF100" s="251"/>
      <c r="AG100" s="251"/>
      <c r="AH100" s="251"/>
      <c r="AI100" s="251"/>
      <c r="AJ100" s="251"/>
      <c r="AK100" s="251"/>
      <c r="AL100" s="251"/>
      <c r="AM100" s="251"/>
      <c r="AN100" s="251"/>
      <c r="AO100" s="251"/>
    </row>
    <row r="101" spans="2:41" x14ac:dyDescent="0.25">
      <c r="B101" s="251"/>
      <c r="C101" s="251"/>
      <c r="D101" s="251"/>
      <c r="E101" s="251"/>
      <c r="F101" s="251"/>
      <c r="G101" s="252"/>
      <c r="H101" s="253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51"/>
      <c r="AI101" s="251"/>
      <c r="AJ101" s="251"/>
      <c r="AK101" s="251"/>
      <c r="AL101" s="251"/>
      <c r="AM101" s="251"/>
      <c r="AN101" s="251"/>
      <c r="AO101" s="251"/>
    </row>
    <row r="102" spans="2:41" x14ac:dyDescent="0.25">
      <c r="B102" s="251"/>
      <c r="C102" s="251"/>
      <c r="D102" s="251"/>
      <c r="E102" s="251"/>
      <c r="F102" s="251"/>
      <c r="G102" s="252"/>
      <c r="H102" s="253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</row>
    <row r="103" spans="2:41" x14ac:dyDescent="0.25">
      <c r="B103" s="251"/>
      <c r="C103" s="251"/>
      <c r="D103" s="251"/>
      <c r="E103" s="251"/>
      <c r="F103" s="251"/>
      <c r="G103" s="252"/>
      <c r="H103" s="253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  <c r="AA103" s="251"/>
      <c r="AB103" s="251"/>
      <c r="AC103" s="251"/>
      <c r="AD103" s="251"/>
      <c r="AE103" s="251"/>
      <c r="AF103" s="251"/>
      <c r="AG103" s="251"/>
      <c r="AH103" s="251"/>
      <c r="AI103" s="251"/>
      <c r="AJ103" s="251"/>
      <c r="AK103" s="251"/>
      <c r="AL103" s="251"/>
      <c r="AM103" s="251"/>
      <c r="AN103" s="251"/>
      <c r="AO103" s="251"/>
    </row>
    <row r="104" spans="2:41" x14ac:dyDescent="0.25">
      <c r="B104" s="251"/>
      <c r="C104" s="251"/>
      <c r="D104" s="251"/>
      <c r="E104" s="251"/>
      <c r="F104" s="251"/>
      <c r="G104" s="252"/>
      <c r="H104" s="253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  <c r="AA104" s="251"/>
      <c r="AB104" s="251"/>
      <c r="AC104" s="251"/>
      <c r="AD104" s="251"/>
      <c r="AE104" s="251"/>
      <c r="AF104" s="251"/>
      <c r="AG104" s="251"/>
      <c r="AH104" s="251"/>
      <c r="AI104" s="251"/>
      <c r="AJ104" s="251"/>
      <c r="AK104" s="251"/>
      <c r="AL104" s="251"/>
      <c r="AM104" s="251"/>
      <c r="AN104" s="251"/>
      <c r="AO104" s="251"/>
    </row>
    <row r="105" spans="2:41" x14ac:dyDescent="0.25">
      <c r="B105" s="251"/>
      <c r="C105" s="251"/>
      <c r="D105" s="251"/>
      <c r="E105" s="251"/>
      <c r="F105" s="251"/>
      <c r="G105" s="252"/>
      <c r="H105" s="253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  <c r="AA105" s="251"/>
      <c r="AB105" s="251"/>
      <c r="AC105" s="251"/>
      <c r="AD105" s="251"/>
      <c r="AE105" s="251"/>
      <c r="AF105" s="251"/>
      <c r="AG105" s="251"/>
      <c r="AH105" s="251"/>
      <c r="AI105" s="251"/>
      <c r="AJ105" s="251"/>
      <c r="AK105" s="251"/>
      <c r="AL105" s="251"/>
      <c r="AM105" s="251"/>
      <c r="AN105" s="251"/>
      <c r="AO105" s="251"/>
    </row>
    <row r="106" spans="2:41" x14ac:dyDescent="0.25">
      <c r="B106" s="251"/>
      <c r="C106" s="251"/>
      <c r="D106" s="251"/>
      <c r="E106" s="251"/>
      <c r="F106" s="251"/>
      <c r="G106" s="252"/>
      <c r="H106" s="253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  <c r="AA106" s="251"/>
      <c r="AB106" s="251"/>
      <c r="AC106" s="251"/>
      <c r="AD106" s="251"/>
      <c r="AE106" s="251"/>
      <c r="AF106" s="251"/>
      <c r="AG106" s="251"/>
      <c r="AH106" s="251"/>
      <c r="AI106" s="251"/>
      <c r="AJ106" s="251"/>
      <c r="AK106" s="251"/>
      <c r="AL106" s="251"/>
      <c r="AM106" s="251"/>
      <c r="AN106" s="251"/>
      <c r="AO106" s="251"/>
    </row>
    <row r="107" spans="2:41" x14ac:dyDescent="0.25">
      <c r="B107" s="251"/>
      <c r="C107" s="251"/>
      <c r="D107" s="251"/>
      <c r="E107" s="251"/>
      <c r="F107" s="251"/>
      <c r="G107" s="252"/>
      <c r="H107" s="253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  <c r="AA107" s="251"/>
      <c r="AB107" s="251"/>
      <c r="AC107" s="251"/>
      <c r="AD107" s="251"/>
      <c r="AE107" s="251"/>
      <c r="AF107" s="251"/>
      <c r="AG107" s="251"/>
      <c r="AH107" s="251"/>
      <c r="AI107" s="251"/>
      <c r="AJ107" s="251"/>
      <c r="AK107" s="251"/>
      <c r="AL107" s="251"/>
      <c r="AM107" s="251"/>
      <c r="AN107" s="251"/>
      <c r="AO107" s="251"/>
    </row>
    <row r="108" spans="2:41" x14ac:dyDescent="0.25">
      <c r="B108" s="251"/>
      <c r="C108" s="251"/>
      <c r="D108" s="251"/>
      <c r="E108" s="251"/>
      <c r="F108" s="251"/>
      <c r="G108" s="252"/>
      <c r="H108" s="253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1"/>
      <c r="AG108" s="251"/>
      <c r="AH108" s="251"/>
      <c r="AI108" s="251"/>
      <c r="AJ108" s="251"/>
      <c r="AK108" s="251"/>
      <c r="AL108" s="251"/>
      <c r="AM108" s="251"/>
      <c r="AN108" s="251"/>
      <c r="AO108" s="251"/>
    </row>
    <row r="109" spans="2:41" x14ac:dyDescent="0.25">
      <c r="B109" s="251"/>
      <c r="C109" s="251"/>
      <c r="D109" s="251"/>
      <c r="E109" s="251"/>
      <c r="F109" s="251"/>
      <c r="G109" s="252"/>
      <c r="H109" s="253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  <c r="AA109" s="251"/>
      <c r="AB109" s="251"/>
      <c r="AC109" s="251"/>
      <c r="AD109" s="251"/>
      <c r="AE109" s="251"/>
      <c r="AF109" s="251"/>
      <c r="AG109" s="251"/>
      <c r="AH109" s="251"/>
      <c r="AI109" s="251"/>
      <c r="AJ109" s="251"/>
      <c r="AK109" s="251"/>
      <c r="AL109" s="251"/>
      <c r="AM109" s="251"/>
      <c r="AN109" s="251"/>
      <c r="AO109" s="251"/>
    </row>
    <row r="110" spans="2:41" x14ac:dyDescent="0.25">
      <c r="B110" s="251"/>
      <c r="C110" s="251"/>
      <c r="D110" s="251"/>
      <c r="E110" s="251"/>
      <c r="F110" s="251"/>
      <c r="G110" s="252"/>
      <c r="H110" s="253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</row>
    <row r="111" spans="2:41" x14ac:dyDescent="0.25">
      <c r="B111" s="251"/>
      <c r="C111" s="251"/>
      <c r="D111" s="251"/>
      <c r="E111" s="251"/>
      <c r="F111" s="251"/>
      <c r="G111" s="252"/>
      <c r="H111" s="253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  <c r="AA111" s="251"/>
      <c r="AB111" s="251"/>
      <c r="AC111" s="251"/>
      <c r="AD111" s="251"/>
      <c r="AE111" s="251"/>
      <c r="AF111" s="251"/>
      <c r="AG111" s="251"/>
      <c r="AH111" s="251"/>
      <c r="AI111" s="251"/>
      <c r="AJ111" s="251"/>
      <c r="AK111" s="251"/>
      <c r="AL111" s="251"/>
      <c r="AM111" s="251"/>
      <c r="AN111" s="251"/>
      <c r="AO111" s="251"/>
    </row>
    <row r="112" spans="2:41" x14ac:dyDescent="0.25">
      <c r="B112" s="251"/>
      <c r="C112" s="251"/>
      <c r="D112" s="251"/>
      <c r="E112" s="251"/>
      <c r="F112" s="251"/>
      <c r="G112" s="252"/>
      <c r="H112" s="253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  <c r="AA112" s="251"/>
      <c r="AB112" s="251"/>
      <c r="AC112" s="251"/>
      <c r="AD112" s="251"/>
      <c r="AE112" s="251"/>
      <c r="AF112" s="251"/>
      <c r="AG112" s="251"/>
      <c r="AH112" s="251"/>
      <c r="AI112" s="251"/>
      <c r="AJ112" s="251"/>
      <c r="AK112" s="251"/>
      <c r="AL112" s="251"/>
      <c r="AM112" s="251"/>
      <c r="AN112" s="251"/>
      <c r="AO112" s="251"/>
    </row>
    <row r="113" spans="2:41" x14ac:dyDescent="0.25">
      <c r="B113" s="251"/>
      <c r="C113" s="251"/>
      <c r="D113" s="251"/>
      <c r="E113" s="251"/>
      <c r="F113" s="251"/>
      <c r="G113" s="252"/>
      <c r="H113" s="253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  <c r="AA113" s="251"/>
      <c r="AB113" s="251"/>
      <c r="AC113" s="251"/>
      <c r="AD113" s="251"/>
      <c r="AE113" s="251"/>
      <c r="AF113" s="251"/>
      <c r="AG113" s="251"/>
      <c r="AH113" s="251"/>
      <c r="AI113" s="251"/>
      <c r="AJ113" s="251"/>
      <c r="AK113" s="251"/>
      <c r="AL113" s="251"/>
      <c r="AM113" s="251"/>
      <c r="AN113" s="251"/>
      <c r="AO113" s="251"/>
    </row>
    <row r="114" spans="2:41" x14ac:dyDescent="0.25">
      <c r="B114" s="251"/>
      <c r="C114" s="251"/>
      <c r="D114" s="251"/>
      <c r="E114" s="251"/>
      <c r="F114" s="251"/>
      <c r="G114" s="252"/>
      <c r="H114" s="253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  <c r="AA114" s="251"/>
      <c r="AB114" s="251"/>
      <c r="AC114" s="251"/>
      <c r="AD114" s="251"/>
      <c r="AE114" s="251"/>
      <c r="AF114" s="251"/>
      <c r="AG114" s="251"/>
      <c r="AH114" s="251"/>
      <c r="AI114" s="251"/>
      <c r="AJ114" s="251"/>
      <c r="AK114" s="251"/>
      <c r="AL114" s="251"/>
      <c r="AM114" s="251"/>
      <c r="AN114" s="251"/>
      <c r="AO114" s="251"/>
    </row>
    <row r="115" spans="2:41" x14ac:dyDescent="0.25">
      <c r="B115" s="251"/>
      <c r="C115" s="251"/>
      <c r="D115" s="251"/>
      <c r="E115" s="251"/>
      <c r="F115" s="251"/>
      <c r="G115" s="252"/>
      <c r="H115" s="253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  <c r="AA115" s="251"/>
      <c r="AB115" s="251"/>
      <c r="AC115" s="251"/>
      <c r="AD115" s="251"/>
      <c r="AE115" s="251"/>
      <c r="AF115" s="251"/>
      <c r="AG115" s="251"/>
      <c r="AH115" s="251"/>
      <c r="AI115" s="251"/>
      <c r="AJ115" s="251"/>
      <c r="AK115" s="251"/>
      <c r="AL115" s="251"/>
      <c r="AM115" s="251"/>
      <c r="AN115" s="251"/>
      <c r="AO115" s="251"/>
    </row>
    <row r="116" spans="2:41" x14ac:dyDescent="0.25">
      <c r="B116" s="251"/>
      <c r="C116" s="251"/>
      <c r="D116" s="251"/>
      <c r="E116" s="251"/>
      <c r="F116" s="251"/>
      <c r="G116" s="252"/>
      <c r="H116" s="253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  <c r="W116" s="251"/>
      <c r="X116" s="251"/>
      <c r="Y116" s="251"/>
      <c r="Z116" s="251"/>
      <c r="AA116" s="251"/>
      <c r="AB116" s="251"/>
      <c r="AC116" s="251"/>
      <c r="AD116" s="251"/>
      <c r="AE116" s="251"/>
      <c r="AF116" s="251"/>
      <c r="AG116" s="251"/>
      <c r="AH116" s="251"/>
      <c r="AI116" s="251"/>
      <c r="AJ116" s="251"/>
      <c r="AK116" s="251"/>
      <c r="AL116" s="251"/>
      <c r="AM116" s="251"/>
      <c r="AN116" s="251"/>
      <c r="AO116" s="251"/>
    </row>
    <row r="117" spans="2:41" x14ac:dyDescent="0.25">
      <c r="B117" s="251"/>
      <c r="C117" s="251"/>
      <c r="D117" s="251"/>
      <c r="E117" s="251"/>
      <c r="F117" s="251"/>
      <c r="G117" s="252"/>
      <c r="H117" s="253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  <c r="AA117" s="251"/>
      <c r="AB117" s="251"/>
      <c r="AC117" s="251"/>
      <c r="AD117" s="251"/>
      <c r="AE117" s="251"/>
      <c r="AF117" s="251"/>
      <c r="AG117" s="251"/>
      <c r="AH117" s="251"/>
      <c r="AI117" s="251"/>
      <c r="AJ117" s="251"/>
      <c r="AK117" s="251"/>
      <c r="AL117" s="251"/>
      <c r="AM117" s="251"/>
      <c r="AN117" s="251"/>
      <c r="AO117" s="251"/>
    </row>
    <row r="118" spans="2:41" x14ac:dyDescent="0.25">
      <c r="B118" s="251"/>
      <c r="C118" s="251"/>
      <c r="D118" s="251"/>
      <c r="E118" s="251"/>
      <c r="F118" s="251"/>
      <c r="G118" s="252"/>
      <c r="H118" s="253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</row>
    <row r="119" spans="2:41" x14ac:dyDescent="0.25">
      <c r="B119" s="251"/>
      <c r="C119" s="251"/>
      <c r="D119" s="251"/>
      <c r="E119" s="251"/>
      <c r="F119" s="251"/>
      <c r="G119" s="252"/>
      <c r="H119" s="253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  <c r="W119" s="251"/>
      <c r="X119" s="251"/>
      <c r="Y119" s="251"/>
      <c r="Z119" s="251"/>
      <c r="AA119" s="251"/>
      <c r="AB119" s="251"/>
      <c r="AC119" s="251"/>
      <c r="AD119" s="251"/>
      <c r="AE119" s="251"/>
      <c r="AF119" s="251"/>
      <c r="AG119" s="251"/>
      <c r="AH119" s="251"/>
      <c r="AI119" s="251"/>
      <c r="AJ119" s="251"/>
      <c r="AK119" s="251"/>
      <c r="AL119" s="251"/>
      <c r="AM119" s="251"/>
      <c r="AN119" s="251"/>
      <c r="AO119" s="251"/>
    </row>
    <row r="120" spans="2:41" x14ac:dyDescent="0.25">
      <c r="B120" s="251"/>
      <c r="C120" s="251"/>
      <c r="D120" s="251"/>
      <c r="E120" s="251"/>
      <c r="F120" s="251"/>
      <c r="G120" s="252"/>
      <c r="H120" s="253"/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  <c r="S120" s="251"/>
      <c r="T120" s="251"/>
      <c r="U120" s="251"/>
      <c r="V120" s="251"/>
      <c r="W120" s="251"/>
      <c r="X120" s="251"/>
      <c r="Y120" s="251"/>
      <c r="Z120" s="251"/>
      <c r="AA120" s="251"/>
      <c r="AB120" s="251"/>
      <c r="AC120" s="251"/>
      <c r="AD120" s="251"/>
      <c r="AE120" s="251"/>
      <c r="AF120" s="251"/>
      <c r="AG120" s="251"/>
      <c r="AH120" s="251"/>
      <c r="AI120" s="251"/>
      <c r="AJ120" s="251"/>
      <c r="AK120" s="251"/>
      <c r="AL120" s="251"/>
      <c r="AM120" s="251"/>
      <c r="AN120" s="251"/>
      <c r="AO120" s="251"/>
    </row>
    <row r="121" spans="2:41" x14ac:dyDescent="0.25">
      <c r="B121" s="251"/>
      <c r="C121" s="251"/>
      <c r="D121" s="251"/>
      <c r="E121" s="251"/>
      <c r="F121" s="251"/>
      <c r="G121" s="252"/>
      <c r="H121" s="253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  <c r="W121" s="251"/>
      <c r="X121" s="251"/>
      <c r="Y121" s="251"/>
      <c r="Z121" s="251"/>
      <c r="AA121" s="251"/>
      <c r="AB121" s="251"/>
      <c r="AC121" s="251"/>
      <c r="AD121" s="251"/>
      <c r="AE121" s="251"/>
      <c r="AF121" s="251"/>
      <c r="AG121" s="251"/>
      <c r="AH121" s="251"/>
      <c r="AI121" s="251"/>
      <c r="AJ121" s="251"/>
      <c r="AK121" s="251"/>
      <c r="AL121" s="251"/>
      <c r="AM121" s="251"/>
      <c r="AN121" s="251"/>
      <c r="AO121" s="251"/>
    </row>
    <row r="122" spans="2:41" x14ac:dyDescent="0.25">
      <c r="B122" s="251"/>
      <c r="C122" s="251"/>
      <c r="D122" s="251"/>
      <c r="E122" s="251"/>
      <c r="F122" s="251"/>
      <c r="G122" s="252"/>
      <c r="H122" s="253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  <c r="W122" s="251"/>
      <c r="X122" s="251"/>
      <c r="Y122" s="251"/>
      <c r="Z122" s="251"/>
      <c r="AA122" s="251"/>
      <c r="AB122" s="251"/>
      <c r="AC122" s="251"/>
      <c r="AD122" s="251"/>
      <c r="AE122" s="251"/>
      <c r="AF122" s="251"/>
      <c r="AG122" s="251"/>
      <c r="AH122" s="251"/>
      <c r="AI122" s="251"/>
      <c r="AJ122" s="251"/>
      <c r="AK122" s="251"/>
      <c r="AL122" s="251"/>
      <c r="AM122" s="251"/>
      <c r="AN122" s="251"/>
      <c r="AO122" s="251"/>
    </row>
    <row r="123" spans="2:41" x14ac:dyDescent="0.25">
      <c r="B123" s="251"/>
      <c r="C123" s="251"/>
      <c r="D123" s="251"/>
      <c r="E123" s="251"/>
      <c r="F123" s="251"/>
      <c r="G123" s="252"/>
      <c r="H123" s="253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51"/>
      <c r="T123" s="251"/>
      <c r="U123" s="251"/>
      <c r="V123" s="251"/>
      <c r="W123" s="251"/>
      <c r="X123" s="251"/>
      <c r="Y123" s="251"/>
      <c r="Z123" s="251"/>
      <c r="AA123" s="251"/>
      <c r="AB123" s="251"/>
      <c r="AC123" s="251"/>
      <c r="AD123" s="251"/>
      <c r="AE123" s="251"/>
      <c r="AF123" s="251"/>
      <c r="AG123" s="251"/>
      <c r="AH123" s="251"/>
      <c r="AI123" s="251"/>
      <c r="AJ123" s="251"/>
      <c r="AK123" s="251"/>
      <c r="AL123" s="251"/>
      <c r="AM123" s="251"/>
      <c r="AN123" s="251"/>
      <c r="AO123" s="251"/>
    </row>
    <row r="124" spans="2:41" x14ac:dyDescent="0.25">
      <c r="B124" s="251"/>
      <c r="C124" s="251"/>
      <c r="D124" s="251"/>
      <c r="E124" s="251"/>
      <c r="F124" s="251"/>
      <c r="G124" s="252"/>
      <c r="H124" s="253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  <c r="W124" s="251"/>
      <c r="X124" s="251"/>
      <c r="Y124" s="251"/>
      <c r="Z124" s="251"/>
      <c r="AA124" s="251"/>
      <c r="AB124" s="251"/>
      <c r="AC124" s="251"/>
      <c r="AD124" s="251"/>
      <c r="AE124" s="251"/>
      <c r="AF124" s="251"/>
      <c r="AG124" s="251"/>
      <c r="AH124" s="251"/>
      <c r="AI124" s="251"/>
      <c r="AJ124" s="251"/>
      <c r="AK124" s="251"/>
      <c r="AL124" s="251"/>
      <c r="AM124" s="251"/>
      <c r="AN124" s="251"/>
      <c r="AO124" s="251"/>
    </row>
    <row r="125" spans="2:41" x14ac:dyDescent="0.25">
      <c r="B125" s="251"/>
      <c r="C125" s="251"/>
      <c r="D125" s="251"/>
      <c r="E125" s="251"/>
      <c r="F125" s="251"/>
      <c r="G125" s="252"/>
      <c r="H125" s="253"/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  <c r="S125" s="251"/>
      <c r="T125" s="251"/>
      <c r="U125" s="251"/>
      <c r="V125" s="251"/>
      <c r="W125" s="251"/>
      <c r="X125" s="251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51"/>
      <c r="AK125" s="251"/>
      <c r="AL125" s="251"/>
      <c r="AM125" s="251"/>
      <c r="AN125" s="251"/>
      <c r="AO125" s="251"/>
    </row>
    <row r="126" spans="2:41" x14ac:dyDescent="0.25">
      <c r="B126" s="251"/>
      <c r="C126" s="251"/>
      <c r="D126" s="251"/>
      <c r="E126" s="251"/>
      <c r="F126" s="251"/>
      <c r="G126" s="252"/>
      <c r="H126" s="253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51"/>
      <c r="AK126" s="251"/>
      <c r="AL126" s="251"/>
      <c r="AM126" s="251"/>
      <c r="AN126" s="251"/>
      <c r="AO126" s="251"/>
    </row>
    <row r="127" spans="2:41" x14ac:dyDescent="0.25">
      <c r="B127" s="251"/>
      <c r="C127" s="251"/>
      <c r="D127" s="251"/>
      <c r="E127" s="251"/>
      <c r="F127" s="251"/>
      <c r="G127" s="252"/>
      <c r="H127" s="253"/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  <c r="S127" s="251"/>
      <c r="T127" s="251"/>
      <c r="U127" s="251"/>
      <c r="V127" s="251"/>
      <c r="W127" s="251"/>
      <c r="X127" s="251"/>
      <c r="Y127" s="251"/>
      <c r="Z127" s="251"/>
      <c r="AA127" s="251"/>
      <c r="AB127" s="251"/>
      <c r="AC127" s="251"/>
      <c r="AD127" s="251"/>
      <c r="AE127" s="251"/>
      <c r="AF127" s="251"/>
      <c r="AG127" s="251"/>
      <c r="AH127" s="251"/>
      <c r="AI127" s="251"/>
      <c r="AJ127" s="251"/>
      <c r="AK127" s="251"/>
      <c r="AL127" s="251"/>
      <c r="AM127" s="251"/>
      <c r="AN127" s="251"/>
      <c r="AO127" s="251"/>
    </row>
    <row r="128" spans="2:41" x14ac:dyDescent="0.25">
      <c r="B128" s="251"/>
      <c r="C128" s="251"/>
      <c r="D128" s="251"/>
      <c r="E128" s="251"/>
      <c r="F128" s="251"/>
      <c r="G128" s="252"/>
      <c r="H128" s="253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1"/>
      <c r="T128" s="251"/>
      <c r="U128" s="251"/>
      <c r="V128" s="251"/>
      <c r="W128" s="251"/>
      <c r="X128" s="251"/>
      <c r="Y128" s="251"/>
      <c r="Z128" s="251"/>
      <c r="AA128" s="251"/>
      <c r="AB128" s="251"/>
      <c r="AC128" s="251"/>
      <c r="AD128" s="251"/>
      <c r="AE128" s="251"/>
      <c r="AF128" s="251"/>
      <c r="AG128" s="251"/>
      <c r="AH128" s="251"/>
      <c r="AI128" s="251"/>
      <c r="AJ128" s="251"/>
      <c r="AK128" s="251"/>
      <c r="AL128" s="251"/>
      <c r="AM128" s="251"/>
      <c r="AN128" s="251"/>
      <c r="AO128" s="251"/>
    </row>
    <row r="129" spans="2:41" x14ac:dyDescent="0.25">
      <c r="B129" s="251"/>
      <c r="C129" s="251"/>
      <c r="D129" s="251"/>
      <c r="E129" s="251"/>
      <c r="F129" s="251"/>
      <c r="G129" s="252"/>
      <c r="H129" s="253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51"/>
      <c r="U129" s="251"/>
      <c r="V129" s="251"/>
      <c r="W129" s="251"/>
      <c r="X129" s="251"/>
      <c r="Y129" s="251"/>
      <c r="Z129" s="251"/>
      <c r="AA129" s="251"/>
      <c r="AB129" s="251"/>
      <c r="AC129" s="251"/>
      <c r="AD129" s="251"/>
      <c r="AE129" s="251"/>
      <c r="AF129" s="251"/>
      <c r="AG129" s="251"/>
      <c r="AH129" s="251"/>
      <c r="AI129" s="251"/>
      <c r="AJ129" s="251"/>
      <c r="AK129" s="251"/>
      <c r="AL129" s="251"/>
      <c r="AM129" s="251"/>
      <c r="AN129" s="251"/>
      <c r="AO129" s="251"/>
    </row>
    <row r="130" spans="2:41" x14ac:dyDescent="0.25">
      <c r="B130" s="251"/>
      <c r="C130" s="251"/>
      <c r="D130" s="251"/>
      <c r="E130" s="251"/>
      <c r="F130" s="251"/>
      <c r="G130" s="252"/>
      <c r="H130" s="253"/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  <c r="S130" s="251"/>
      <c r="T130" s="251"/>
      <c r="U130" s="251"/>
      <c r="V130" s="251"/>
      <c r="W130" s="251"/>
      <c r="X130" s="251"/>
      <c r="Y130" s="251"/>
      <c r="Z130" s="251"/>
      <c r="AA130" s="251"/>
      <c r="AB130" s="251"/>
      <c r="AC130" s="251"/>
      <c r="AD130" s="251"/>
      <c r="AE130" s="251"/>
      <c r="AF130" s="251"/>
      <c r="AG130" s="251"/>
      <c r="AH130" s="251"/>
      <c r="AI130" s="251"/>
      <c r="AJ130" s="251"/>
      <c r="AK130" s="251"/>
      <c r="AL130" s="251"/>
      <c r="AM130" s="251"/>
      <c r="AN130" s="251"/>
      <c r="AO130" s="251"/>
    </row>
    <row r="131" spans="2:41" x14ac:dyDescent="0.25">
      <c r="B131" s="251"/>
      <c r="C131" s="251"/>
      <c r="D131" s="251"/>
      <c r="E131" s="251"/>
      <c r="F131" s="251"/>
      <c r="G131" s="252"/>
      <c r="H131" s="253"/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  <c r="S131" s="251"/>
      <c r="T131" s="251"/>
      <c r="U131" s="251"/>
      <c r="V131" s="251"/>
      <c r="W131" s="251"/>
      <c r="X131" s="251"/>
      <c r="Y131" s="251"/>
      <c r="Z131" s="251"/>
      <c r="AA131" s="251"/>
      <c r="AB131" s="251"/>
      <c r="AC131" s="251"/>
      <c r="AD131" s="251"/>
      <c r="AE131" s="251"/>
      <c r="AF131" s="251"/>
      <c r="AG131" s="251"/>
      <c r="AH131" s="251"/>
      <c r="AI131" s="251"/>
      <c r="AJ131" s="251"/>
      <c r="AK131" s="251"/>
      <c r="AL131" s="251"/>
      <c r="AM131" s="251"/>
      <c r="AN131" s="251"/>
      <c r="AO131" s="251"/>
    </row>
    <row r="132" spans="2:41" x14ac:dyDescent="0.25">
      <c r="B132" s="251"/>
      <c r="C132" s="251"/>
      <c r="D132" s="251"/>
      <c r="E132" s="251"/>
      <c r="F132" s="251"/>
      <c r="G132" s="252"/>
      <c r="H132" s="253"/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  <c r="S132" s="251"/>
      <c r="T132" s="251"/>
      <c r="U132" s="251"/>
      <c r="V132" s="251"/>
      <c r="W132" s="251"/>
      <c r="X132" s="251"/>
      <c r="Y132" s="251"/>
      <c r="Z132" s="251"/>
      <c r="AA132" s="251"/>
      <c r="AB132" s="251"/>
      <c r="AC132" s="251"/>
      <c r="AD132" s="251"/>
      <c r="AE132" s="251"/>
      <c r="AF132" s="251"/>
      <c r="AG132" s="251"/>
      <c r="AH132" s="251"/>
      <c r="AI132" s="251"/>
      <c r="AJ132" s="251"/>
      <c r="AK132" s="251"/>
      <c r="AL132" s="251"/>
      <c r="AM132" s="251"/>
      <c r="AN132" s="251"/>
      <c r="AO132" s="251"/>
    </row>
    <row r="133" spans="2:41" x14ac:dyDescent="0.25">
      <c r="B133" s="251"/>
      <c r="C133" s="251"/>
      <c r="D133" s="251"/>
      <c r="E133" s="251"/>
      <c r="F133" s="251"/>
      <c r="G133" s="252"/>
      <c r="H133" s="253"/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  <c r="S133" s="251"/>
      <c r="T133" s="251"/>
      <c r="U133" s="251"/>
      <c r="V133" s="251"/>
      <c r="W133" s="251"/>
      <c r="X133" s="251"/>
      <c r="Y133" s="251"/>
      <c r="Z133" s="251"/>
      <c r="AA133" s="251"/>
      <c r="AB133" s="251"/>
      <c r="AC133" s="251"/>
      <c r="AD133" s="251"/>
      <c r="AE133" s="251"/>
      <c r="AF133" s="251"/>
      <c r="AG133" s="251"/>
      <c r="AH133" s="251"/>
      <c r="AI133" s="251"/>
      <c r="AJ133" s="251"/>
      <c r="AK133" s="251"/>
      <c r="AL133" s="251"/>
      <c r="AM133" s="251"/>
      <c r="AN133" s="251"/>
      <c r="AO133" s="251"/>
    </row>
    <row r="134" spans="2:41" x14ac:dyDescent="0.25">
      <c r="B134" s="251"/>
      <c r="C134" s="251"/>
      <c r="D134" s="251"/>
      <c r="E134" s="251"/>
      <c r="F134" s="251"/>
      <c r="G134" s="252"/>
      <c r="H134" s="253"/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  <c r="S134" s="251"/>
      <c r="T134" s="251"/>
      <c r="U134" s="251"/>
      <c r="V134" s="251"/>
      <c r="W134" s="251"/>
      <c r="X134" s="251"/>
      <c r="Y134" s="251"/>
      <c r="Z134" s="251"/>
      <c r="AA134" s="251"/>
      <c r="AB134" s="251"/>
      <c r="AC134" s="251"/>
      <c r="AD134" s="251"/>
      <c r="AE134" s="251"/>
      <c r="AF134" s="251"/>
      <c r="AG134" s="251"/>
      <c r="AH134" s="251"/>
      <c r="AI134" s="251"/>
      <c r="AJ134" s="251"/>
      <c r="AK134" s="251"/>
      <c r="AL134" s="251"/>
      <c r="AM134" s="251"/>
      <c r="AN134" s="251"/>
      <c r="AO134" s="251"/>
    </row>
    <row r="135" spans="2:41" x14ac:dyDescent="0.25">
      <c r="B135" s="251"/>
      <c r="C135" s="251"/>
      <c r="D135" s="251"/>
      <c r="E135" s="251"/>
      <c r="F135" s="251"/>
      <c r="G135" s="252"/>
      <c r="H135" s="253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51"/>
      <c r="AI135" s="251"/>
      <c r="AJ135" s="251"/>
      <c r="AK135" s="251"/>
      <c r="AL135" s="251"/>
      <c r="AM135" s="251"/>
      <c r="AN135" s="251"/>
      <c r="AO135" s="251"/>
    </row>
    <row r="136" spans="2:41" x14ac:dyDescent="0.25">
      <c r="B136" s="251"/>
      <c r="C136" s="251"/>
      <c r="D136" s="251"/>
      <c r="E136" s="251"/>
      <c r="F136" s="251"/>
      <c r="G136" s="252"/>
      <c r="H136" s="253"/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  <c r="S136" s="251"/>
      <c r="T136" s="251"/>
      <c r="U136" s="251"/>
      <c r="V136" s="251"/>
      <c r="W136" s="251"/>
      <c r="X136" s="251"/>
      <c r="Y136" s="251"/>
      <c r="Z136" s="251"/>
      <c r="AA136" s="251"/>
      <c r="AB136" s="251"/>
      <c r="AC136" s="251"/>
      <c r="AD136" s="251"/>
      <c r="AE136" s="251"/>
      <c r="AF136" s="251"/>
      <c r="AG136" s="251"/>
      <c r="AH136" s="251"/>
      <c r="AI136" s="251"/>
      <c r="AJ136" s="251"/>
      <c r="AK136" s="251"/>
      <c r="AL136" s="251"/>
      <c r="AM136" s="251"/>
      <c r="AN136" s="251"/>
      <c r="AO136" s="251"/>
    </row>
    <row r="137" spans="2:41" x14ac:dyDescent="0.25">
      <c r="B137" s="251"/>
      <c r="C137" s="251"/>
      <c r="D137" s="251"/>
      <c r="E137" s="251"/>
      <c r="F137" s="251"/>
      <c r="G137" s="252"/>
      <c r="H137" s="253"/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  <c r="S137" s="251"/>
      <c r="T137" s="251"/>
      <c r="U137" s="251"/>
      <c r="V137" s="251"/>
      <c r="W137" s="251"/>
      <c r="X137" s="251"/>
      <c r="Y137" s="251"/>
      <c r="Z137" s="251"/>
      <c r="AA137" s="251"/>
      <c r="AB137" s="251"/>
      <c r="AC137" s="251"/>
      <c r="AD137" s="251"/>
      <c r="AE137" s="251"/>
      <c r="AF137" s="251"/>
      <c r="AG137" s="251"/>
      <c r="AH137" s="251"/>
      <c r="AI137" s="251"/>
      <c r="AJ137" s="251"/>
      <c r="AK137" s="251"/>
      <c r="AL137" s="251"/>
      <c r="AM137" s="251"/>
      <c r="AN137" s="251"/>
      <c r="AO137" s="251"/>
    </row>
    <row r="138" spans="2:41" x14ac:dyDescent="0.25">
      <c r="B138" s="251"/>
      <c r="C138" s="251"/>
      <c r="D138" s="251"/>
      <c r="E138" s="251"/>
      <c r="F138" s="251"/>
      <c r="G138" s="252"/>
      <c r="H138" s="253"/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  <c r="S138" s="251"/>
      <c r="T138" s="251"/>
      <c r="U138" s="251"/>
      <c r="V138" s="251"/>
      <c r="W138" s="251"/>
      <c r="X138" s="251"/>
      <c r="Y138" s="251"/>
      <c r="Z138" s="251"/>
      <c r="AA138" s="251"/>
      <c r="AB138" s="251"/>
      <c r="AC138" s="251"/>
      <c r="AD138" s="251"/>
      <c r="AE138" s="251"/>
      <c r="AF138" s="251"/>
      <c r="AG138" s="251"/>
      <c r="AH138" s="251"/>
      <c r="AI138" s="251"/>
      <c r="AJ138" s="251"/>
      <c r="AK138" s="251"/>
      <c r="AL138" s="251"/>
      <c r="AM138" s="251"/>
      <c r="AN138" s="251"/>
      <c r="AO138" s="251"/>
    </row>
    <row r="139" spans="2:41" x14ac:dyDescent="0.25">
      <c r="B139" s="251"/>
      <c r="C139" s="251"/>
      <c r="D139" s="251"/>
      <c r="E139" s="251"/>
      <c r="F139" s="251"/>
      <c r="G139" s="252"/>
      <c r="H139" s="253"/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  <c r="S139" s="251"/>
      <c r="T139" s="251"/>
      <c r="U139" s="251"/>
      <c r="V139" s="251"/>
      <c r="W139" s="251"/>
      <c r="X139" s="251"/>
      <c r="Y139" s="251"/>
      <c r="Z139" s="251"/>
      <c r="AA139" s="251"/>
      <c r="AB139" s="251"/>
      <c r="AC139" s="251"/>
      <c r="AD139" s="251"/>
      <c r="AE139" s="251"/>
      <c r="AF139" s="251"/>
      <c r="AG139" s="251"/>
      <c r="AH139" s="251"/>
      <c r="AI139" s="251"/>
      <c r="AJ139" s="251"/>
      <c r="AK139" s="251"/>
      <c r="AL139" s="251"/>
      <c r="AM139" s="251"/>
      <c r="AN139" s="251"/>
      <c r="AO139" s="251"/>
    </row>
    <row r="140" spans="2:41" x14ac:dyDescent="0.25">
      <c r="B140" s="251"/>
      <c r="C140" s="251"/>
      <c r="D140" s="251"/>
      <c r="E140" s="251"/>
      <c r="F140" s="251"/>
      <c r="G140" s="252"/>
      <c r="H140" s="253"/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  <c r="W140" s="251"/>
      <c r="X140" s="251"/>
      <c r="Y140" s="251"/>
      <c r="Z140" s="251"/>
      <c r="AA140" s="251"/>
      <c r="AB140" s="251"/>
      <c r="AC140" s="251"/>
      <c r="AD140" s="251"/>
      <c r="AE140" s="251"/>
      <c r="AF140" s="251"/>
      <c r="AG140" s="251"/>
      <c r="AH140" s="251"/>
      <c r="AI140" s="251"/>
      <c r="AJ140" s="251"/>
      <c r="AK140" s="251"/>
      <c r="AL140" s="251"/>
      <c r="AM140" s="251"/>
      <c r="AN140" s="251"/>
      <c r="AO140" s="251"/>
    </row>
    <row r="141" spans="2:41" x14ac:dyDescent="0.25">
      <c r="B141" s="251"/>
      <c r="C141" s="251"/>
      <c r="D141" s="251"/>
      <c r="E141" s="251"/>
      <c r="F141" s="251"/>
      <c r="G141" s="252"/>
      <c r="H141" s="253"/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  <c r="S141" s="251"/>
      <c r="T141" s="251"/>
      <c r="U141" s="251"/>
      <c r="V141" s="251"/>
      <c r="W141" s="251"/>
      <c r="X141" s="251"/>
      <c r="Y141" s="251"/>
      <c r="Z141" s="251"/>
      <c r="AA141" s="251"/>
      <c r="AB141" s="251"/>
      <c r="AC141" s="251"/>
      <c r="AD141" s="251"/>
      <c r="AE141" s="251"/>
      <c r="AF141" s="251"/>
      <c r="AG141" s="251"/>
      <c r="AH141" s="251"/>
      <c r="AI141" s="251"/>
      <c r="AJ141" s="251"/>
      <c r="AK141" s="251"/>
      <c r="AL141" s="251"/>
      <c r="AM141" s="251"/>
      <c r="AN141" s="251"/>
      <c r="AO141" s="251"/>
    </row>
    <row r="142" spans="2:41" x14ac:dyDescent="0.25">
      <c r="B142" s="251"/>
      <c r="C142" s="251"/>
      <c r="D142" s="251"/>
      <c r="E142" s="251"/>
      <c r="F142" s="251"/>
      <c r="G142" s="252"/>
      <c r="H142" s="253"/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  <c r="W142" s="251"/>
      <c r="X142" s="251"/>
      <c r="Y142" s="251"/>
      <c r="Z142" s="251"/>
      <c r="AA142" s="251"/>
      <c r="AB142" s="251"/>
      <c r="AC142" s="251"/>
      <c r="AD142" s="251"/>
      <c r="AE142" s="251"/>
      <c r="AF142" s="251"/>
      <c r="AG142" s="251"/>
      <c r="AH142" s="251"/>
      <c r="AI142" s="251"/>
      <c r="AJ142" s="251"/>
      <c r="AK142" s="251"/>
      <c r="AL142" s="251"/>
      <c r="AM142" s="251"/>
      <c r="AN142" s="251"/>
      <c r="AO142" s="251"/>
    </row>
    <row r="143" spans="2:41" x14ac:dyDescent="0.25">
      <c r="B143" s="251"/>
      <c r="C143" s="251"/>
      <c r="D143" s="251"/>
      <c r="E143" s="251"/>
      <c r="F143" s="251"/>
      <c r="G143" s="252"/>
      <c r="H143" s="253"/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251"/>
      <c r="W143" s="251"/>
      <c r="X143" s="251"/>
      <c r="Y143" s="251"/>
      <c r="Z143" s="251"/>
      <c r="AA143" s="251"/>
      <c r="AB143" s="251"/>
      <c r="AC143" s="251"/>
      <c r="AD143" s="251"/>
      <c r="AE143" s="251"/>
      <c r="AF143" s="251"/>
      <c r="AG143" s="251"/>
      <c r="AH143" s="251"/>
      <c r="AI143" s="251"/>
      <c r="AJ143" s="251"/>
      <c r="AK143" s="251"/>
      <c r="AL143" s="251"/>
      <c r="AM143" s="251"/>
      <c r="AN143" s="251"/>
      <c r="AO143" s="251"/>
    </row>
    <row r="144" spans="2:41" x14ac:dyDescent="0.25">
      <c r="B144" s="251"/>
      <c r="C144" s="251"/>
      <c r="D144" s="251"/>
      <c r="E144" s="251"/>
      <c r="F144" s="251"/>
      <c r="G144" s="252"/>
      <c r="H144" s="253"/>
      <c r="I144" s="251"/>
      <c r="J144" s="251"/>
      <c r="K144" s="251"/>
      <c r="L144" s="251"/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  <c r="W144" s="251"/>
      <c r="X144" s="251"/>
      <c r="Y144" s="251"/>
      <c r="Z144" s="251"/>
      <c r="AA144" s="251"/>
      <c r="AB144" s="251"/>
      <c r="AC144" s="251"/>
      <c r="AD144" s="251"/>
      <c r="AE144" s="251"/>
      <c r="AF144" s="251"/>
      <c r="AG144" s="251"/>
      <c r="AH144" s="251"/>
      <c r="AI144" s="251"/>
      <c r="AJ144" s="251"/>
      <c r="AK144" s="251"/>
      <c r="AL144" s="251"/>
      <c r="AM144" s="251"/>
      <c r="AN144" s="251"/>
      <c r="AO144" s="251"/>
    </row>
    <row r="145" spans="2:41" x14ac:dyDescent="0.25">
      <c r="B145" s="251"/>
      <c r="C145" s="251"/>
      <c r="D145" s="251"/>
      <c r="E145" s="251"/>
      <c r="F145" s="251"/>
      <c r="G145" s="252"/>
      <c r="H145" s="253"/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  <c r="S145" s="251"/>
      <c r="T145" s="251"/>
      <c r="U145" s="251"/>
      <c r="V145" s="251"/>
      <c r="W145" s="251"/>
      <c r="X145" s="251"/>
      <c r="Y145" s="251"/>
      <c r="Z145" s="251"/>
      <c r="AA145" s="251"/>
      <c r="AB145" s="251"/>
      <c r="AC145" s="251"/>
      <c r="AD145" s="251"/>
      <c r="AE145" s="251"/>
      <c r="AF145" s="251"/>
      <c r="AG145" s="251"/>
      <c r="AH145" s="251"/>
      <c r="AI145" s="251"/>
      <c r="AJ145" s="251"/>
      <c r="AK145" s="251"/>
      <c r="AL145" s="251"/>
      <c r="AM145" s="251"/>
      <c r="AN145" s="251"/>
      <c r="AO145" s="251"/>
    </row>
    <row r="146" spans="2:41" x14ac:dyDescent="0.25">
      <c r="B146" s="251"/>
      <c r="C146" s="251"/>
      <c r="D146" s="251"/>
      <c r="E146" s="251"/>
      <c r="F146" s="251"/>
      <c r="G146" s="252"/>
      <c r="H146" s="253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  <c r="W146" s="251"/>
      <c r="X146" s="251"/>
      <c r="Y146" s="251"/>
      <c r="Z146" s="251"/>
      <c r="AA146" s="251"/>
      <c r="AB146" s="251"/>
      <c r="AC146" s="251"/>
      <c r="AD146" s="251"/>
      <c r="AE146" s="251"/>
      <c r="AF146" s="251"/>
      <c r="AG146" s="251"/>
      <c r="AH146" s="251"/>
      <c r="AI146" s="251"/>
      <c r="AJ146" s="251"/>
      <c r="AK146" s="251"/>
      <c r="AL146" s="251"/>
      <c r="AM146" s="251"/>
      <c r="AN146" s="251"/>
      <c r="AO146" s="251"/>
    </row>
    <row r="147" spans="2:41" x14ac:dyDescent="0.25">
      <c r="B147" s="251"/>
      <c r="C147" s="251"/>
      <c r="D147" s="251"/>
      <c r="E147" s="251"/>
      <c r="F147" s="251"/>
      <c r="G147" s="252"/>
      <c r="H147" s="253"/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  <c r="W147" s="251"/>
      <c r="X147" s="251"/>
      <c r="Y147" s="251"/>
      <c r="Z147" s="251"/>
      <c r="AA147" s="251"/>
      <c r="AB147" s="251"/>
      <c r="AC147" s="251"/>
      <c r="AD147" s="251"/>
      <c r="AE147" s="251"/>
      <c r="AF147" s="251"/>
      <c r="AG147" s="251"/>
      <c r="AH147" s="251"/>
      <c r="AI147" s="251"/>
      <c r="AJ147" s="251"/>
      <c r="AK147" s="251"/>
      <c r="AL147" s="251"/>
      <c r="AM147" s="251"/>
      <c r="AN147" s="251"/>
      <c r="AO147" s="251"/>
    </row>
    <row r="148" spans="2:41" x14ac:dyDescent="0.25">
      <c r="B148" s="251"/>
      <c r="C148" s="251"/>
      <c r="D148" s="251"/>
      <c r="E148" s="251"/>
      <c r="F148" s="251"/>
      <c r="G148" s="252"/>
      <c r="H148" s="253"/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  <c r="W148" s="251"/>
      <c r="X148" s="251"/>
      <c r="Y148" s="251"/>
      <c r="Z148" s="251"/>
      <c r="AA148" s="251"/>
      <c r="AB148" s="251"/>
      <c r="AC148" s="251"/>
      <c r="AD148" s="251"/>
      <c r="AE148" s="251"/>
      <c r="AF148" s="251"/>
      <c r="AG148" s="251"/>
      <c r="AH148" s="251"/>
      <c r="AI148" s="251"/>
      <c r="AJ148" s="251"/>
      <c r="AK148" s="251"/>
      <c r="AL148" s="251"/>
      <c r="AM148" s="251"/>
      <c r="AN148" s="251"/>
      <c r="AO148" s="251"/>
    </row>
    <row r="149" spans="2:41" x14ac:dyDescent="0.25">
      <c r="B149" s="251"/>
      <c r="C149" s="251"/>
      <c r="D149" s="251"/>
      <c r="E149" s="251"/>
      <c r="F149" s="251"/>
      <c r="G149" s="252"/>
      <c r="H149" s="253"/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  <c r="W149" s="251"/>
      <c r="X149" s="251"/>
      <c r="Y149" s="251"/>
      <c r="Z149" s="251"/>
      <c r="AA149" s="251"/>
      <c r="AB149" s="251"/>
      <c r="AC149" s="251"/>
      <c r="AD149" s="251"/>
      <c r="AE149" s="251"/>
      <c r="AF149" s="251"/>
      <c r="AG149" s="251"/>
      <c r="AH149" s="251"/>
      <c r="AI149" s="251"/>
      <c r="AJ149" s="251"/>
      <c r="AK149" s="251"/>
      <c r="AL149" s="251"/>
      <c r="AM149" s="251"/>
      <c r="AN149" s="251"/>
      <c r="AO149" s="251"/>
    </row>
    <row r="150" spans="2:41" x14ac:dyDescent="0.25">
      <c r="B150" s="251"/>
      <c r="C150" s="251"/>
      <c r="D150" s="251"/>
      <c r="E150" s="251"/>
      <c r="F150" s="251"/>
      <c r="G150" s="252"/>
      <c r="H150" s="253"/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  <c r="S150" s="251"/>
      <c r="T150" s="251"/>
      <c r="U150" s="251"/>
      <c r="V150" s="251"/>
      <c r="W150" s="251"/>
      <c r="X150" s="251"/>
      <c r="Y150" s="251"/>
      <c r="Z150" s="251"/>
      <c r="AA150" s="251"/>
      <c r="AB150" s="251"/>
      <c r="AC150" s="251"/>
      <c r="AD150" s="251"/>
      <c r="AE150" s="251"/>
      <c r="AF150" s="251"/>
      <c r="AG150" s="251"/>
      <c r="AH150" s="251"/>
      <c r="AI150" s="251"/>
      <c r="AJ150" s="251"/>
      <c r="AK150" s="251"/>
      <c r="AL150" s="251"/>
      <c r="AM150" s="251"/>
      <c r="AN150" s="251"/>
      <c r="AO150" s="251"/>
    </row>
    <row r="151" spans="2:41" x14ac:dyDescent="0.25">
      <c r="B151" s="251"/>
      <c r="C151" s="251"/>
      <c r="D151" s="251"/>
      <c r="E151" s="251"/>
      <c r="F151" s="251"/>
      <c r="G151" s="252"/>
      <c r="H151" s="253"/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  <c r="S151" s="251"/>
      <c r="T151" s="251"/>
      <c r="U151" s="251"/>
      <c r="V151" s="251"/>
      <c r="W151" s="251"/>
      <c r="X151" s="251"/>
      <c r="Y151" s="251"/>
      <c r="Z151" s="251"/>
      <c r="AA151" s="251"/>
      <c r="AB151" s="251"/>
      <c r="AC151" s="251"/>
      <c r="AD151" s="251"/>
      <c r="AE151" s="251"/>
      <c r="AF151" s="251"/>
      <c r="AG151" s="251"/>
      <c r="AH151" s="251"/>
      <c r="AI151" s="251"/>
      <c r="AJ151" s="251"/>
      <c r="AK151" s="251"/>
      <c r="AL151" s="251"/>
      <c r="AM151" s="251"/>
      <c r="AN151" s="251"/>
      <c r="AO151" s="251"/>
    </row>
    <row r="152" spans="2:41" x14ac:dyDescent="0.25">
      <c r="B152" s="251"/>
      <c r="C152" s="251"/>
      <c r="D152" s="251"/>
      <c r="E152" s="251"/>
      <c r="F152" s="251"/>
      <c r="G152" s="252"/>
      <c r="H152" s="253"/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  <c r="S152" s="251"/>
      <c r="T152" s="251"/>
      <c r="U152" s="251"/>
      <c r="V152" s="251"/>
      <c r="W152" s="251"/>
      <c r="X152" s="251"/>
      <c r="Y152" s="251"/>
      <c r="Z152" s="251"/>
      <c r="AA152" s="251"/>
      <c r="AB152" s="251"/>
      <c r="AC152" s="251"/>
      <c r="AD152" s="251"/>
      <c r="AE152" s="251"/>
      <c r="AF152" s="251"/>
      <c r="AG152" s="251"/>
      <c r="AH152" s="251"/>
      <c r="AI152" s="251"/>
      <c r="AJ152" s="251"/>
      <c r="AK152" s="251"/>
      <c r="AL152" s="251"/>
      <c r="AM152" s="251"/>
      <c r="AN152" s="251"/>
      <c r="AO152" s="251"/>
    </row>
    <row r="153" spans="2:41" x14ac:dyDescent="0.25">
      <c r="B153" s="251"/>
      <c r="C153" s="251"/>
      <c r="D153" s="251"/>
      <c r="E153" s="251"/>
      <c r="F153" s="251"/>
      <c r="G153" s="252"/>
      <c r="H153" s="253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</row>
    <row r="154" spans="2:41" x14ac:dyDescent="0.25">
      <c r="B154" s="251"/>
      <c r="C154" s="251"/>
      <c r="D154" s="251"/>
      <c r="E154" s="251"/>
      <c r="F154" s="251"/>
      <c r="G154" s="252"/>
      <c r="H154" s="253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</row>
    <row r="155" spans="2:41" x14ac:dyDescent="0.25">
      <c r="B155" s="251"/>
      <c r="C155" s="251"/>
      <c r="D155" s="251"/>
      <c r="E155" s="251"/>
      <c r="F155" s="251"/>
      <c r="G155" s="252"/>
      <c r="H155" s="253"/>
      <c r="I155" s="251"/>
      <c r="J155" s="251"/>
      <c r="K155" s="251"/>
      <c r="L155" s="251"/>
      <c r="M155" s="251"/>
      <c r="N155" s="251"/>
      <c r="O155" s="251"/>
      <c r="P155" s="251"/>
      <c r="Q155" s="251"/>
      <c r="R155" s="251"/>
      <c r="S155" s="251"/>
      <c r="T155" s="251"/>
      <c r="U155" s="251"/>
      <c r="V155" s="251"/>
      <c r="W155" s="251"/>
      <c r="X155" s="251"/>
      <c r="Y155" s="251"/>
      <c r="Z155" s="251"/>
      <c r="AA155" s="251"/>
      <c r="AB155" s="251"/>
      <c r="AC155" s="251"/>
      <c r="AD155" s="251"/>
      <c r="AE155" s="251"/>
      <c r="AF155" s="251"/>
      <c r="AG155" s="251"/>
      <c r="AH155" s="251"/>
      <c r="AI155" s="251"/>
      <c r="AJ155" s="251"/>
      <c r="AK155" s="251"/>
      <c r="AL155" s="251"/>
      <c r="AM155" s="251"/>
      <c r="AN155" s="251"/>
      <c r="AO155" s="251"/>
    </row>
    <row r="156" spans="2:41" x14ac:dyDescent="0.25">
      <c r="B156" s="251"/>
      <c r="C156" s="251"/>
      <c r="D156" s="251"/>
      <c r="E156" s="251"/>
      <c r="F156" s="251"/>
      <c r="G156" s="252"/>
      <c r="H156" s="253"/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  <c r="W156" s="251"/>
      <c r="X156" s="251"/>
      <c r="Y156" s="251"/>
      <c r="Z156" s="251"/>
      <c r="AA156" s="251"/>
      <c r="AB156" s="251"/>
      <c r="AC156" s="251"/>
      <c r="AD156" s="251"/>
      <c r="AE156" s="251"/>
      <c r="AF156" s="251"/>
      <c r="AG156" s="251"/>
      <c r="AH156" s="251"/>
      <c r="AI156" s="251"/>
      <c r="AJ156" s="251"/>
      <c r="AK156" s="251"/>
      <c r="AL156" s="251"/>
      <c r="AM156" s="251"/>
      <c r="AN156" s="251"/>
      <c r="AO156" s="251"/>
    </row>
    <row r="157" spans="2:41" x14ac:dyDescent="0.25">
      <c r="B157" s="251"/>
      <c r="C157" s="251"/>
      <c r="D157" s="251"/>
      <c r="E157" s="251"/>
      <c r="F157" s="251"/>
      <c r="G157" s="252"/>
      <c r="H157" s="253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251"/>
      <c r="Z157" s="251"/>
      <c r="AA157" s="251"/>
      <c r="AB157" s="251"/>
      <c r="AC157" s="251"/>
      <c r="AD157" s="251"/>
      <c r="AE157" s="251"/>
      <c r="AF157" s="251"/>
      <c r="AG157" s="251"/>
      <c r="AH157" s="251"/>
      <c r="AI157" s="251"/>
      <c r="AJ157" s="251"/>
      <c r="AK157" s="251"/>
      <c r="AL157" s="251"/>
      <c r="AM157" s="251"/>
      <c r="AN157" s="251"/>
      <c r="AO157" s="251"/>
    </row>
    <row r="158" spans="2:41" x14ac:dyDescent="0.25">
      <c r="B158" s="251"/>
      <c r="C158" s="251"/>
      <c r="D158" s="251"/>
      <c r="E158" s="251"/>
      <c r="F158" s="251"/>
      <c r="G158" s="252"/>
      <c r="H158" s="253"/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  <c r="W158" s="251"/>
      <c r="X158" s="251"/>
      <c r="Y158" s="251"/>
      <c r="Z158" s="251"/>
      <c r="AA158" s="251"/>
      <c r="AB158" s="251"/>
      <c r="AC158" s="251"/>
      <c r="AD158" s="251"/>
      <c r="AE158" s="251"/>
      <c r="AF158" s="251"/>
      <c r="AG158" s="251"/>
      <c r="AH158" s="251"/>
      <c r="AI158" s="251"/>
      <c r="AJ158" s="251"/>
      <c r="AK158" s="251"/>
      <c r="AL158" s="251"/>
      <c r="AM158" s="251"/>
      <c r="AN158" s="251"/>
      <c r="AO158" s="251"/>
    </row>
    <row r="159" spans="2:41" x14ac:dyDescent="0.25">
      <c r="B159" s="251"/>
      <c r="C159" s="251"/>
      <c r="D159" s="251"/>
      <c r="E159" s="251"/>
      <c r="F159" s="251"/>
      <c r="G159" s="252"/>
      <c r="H159" s="253"/>
      <c r="I159" s="251"/>
      <c r="J159" s="251"/>
      <c r="K159" s="251"/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  <c r="W159" s="251"/>
      <c r="X159" s="251"/>
      <c r="Y159" s="251"/>
      <c r="Z159" s="251"/>
      <c r="AA159" s="251"/>
      <c r="AB159" s="251"/>
      <c r="AC159" s="251"/>
      <c r="AD159" s="251"/>
      <c r="AE159" s="251"/>
      <c r="AF159" s="251"/>
      <c r="AG159" s="251"/>
      <c r="AH159" s="251"/>
      <c r="AI159" s="251"/>
      <c r="AJ159" s="251"/>
      <c r="AK159" s="251"/>
      <c r="AL159" s="251"/>
      <c r="AM159" s="251"/>
      <c r="AN159" s="251"/>
      <c r="AO159" s="251"/>
    </row>
    <row r="160" spans="2:41" x14ac:dyDescent="0.25">
      <c r="B160" s="251"/>
      <c r="C160" s="251"/>
      <c r="D160" s="251"/>
      <c r="E160" s="251"/>
      <c r="F160" s="251"/>
      <c r="G160" s="252"/>
      <c r="H160" s="253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1"/>
      <c r="AG160" s="251"/>
      <c r="AH160" s="251"/>
      <c r="AI160" s="251"/>
      <c r="AJ160" s="251"/>
      <c r="AK160" s="251"/>
      <c r="AL160" s="251"/>
      <c r="AM160" s="251"/>
      <c r="AN160" s="251"/>
      <c r="AO160" s="251"/>
    </row>
    <row r="161" spans="2:41" x14ac:dyDescent="0.25">
      <c r="B161" s="251"/>
      <c r="C161" s="251"/>
      <c r="D161" s="251"/>
      <c r="E161" s="251"/>
      <c r="F161" s="251"/>
      <c r="G161" s="252"/>
      <c r="H161" s="253"/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  <c r="W161" s="251"/>
      <c r="X161" s="251"/>
      <c r="Y161" s="251"/>
      <c r="Z161" s="251"/>
      <c r="AA161" s="251"/>
      <c r="AB161" s="251"/>
      <c r="AC161" s="251"/>
      <c r="AD161" s="251"/>
      <c r="AE161" s="251"/>
      <c r="AF161" s="251"/>
      <c r="AG161" s="251"/>
      <c r="AH161" s="251"/>
      <c r="AI161" s="251"/>
      <c r="AJ161" s="251"/>
      <c r="AK161" s="251"/>
      <c r="AL161" s="251"/>
      <c r="AM161" s="251"/>
      <c r="AN161" s="251"/>
      <c r="AO161" s="251"/>
    </row>
    <row r="162" spans="2:41" x14ac:dyDescent="0.25">
      <c r="B162" s="251"/>
      <c r="C162" s="251"/>
      <c r="D162" s="251"/>
      <c r="E162" s="251"/>
      <c r="F162" s="251"/>
      <c r="G162" s="252"/>
      <c r="H162" s="253"/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  <c r="W162" s="251"/>
      <c r="X162" s="251"/>
      <c r="Y162" s="251"/>
      <c r="Z162" s="251"/>
      <c r="AA162" s="251"/>
      <c r="AB162" s="251"/>
      <c r="AC162" s="251"/>
      <c r="AD162" s="251"/>
      <c r="AE162" s="251"/>
      <c r="AF162" s="251"/>
      <c r="AG162" s="251"/>
      <c r="AH162" s="251"/>
      <c r="AI162" s="251"/>
      <c r="AJ162" s="251"/>
      <c r="AK162" s="251"/>
      <c r="AL162" s="251"/>
      <c r="AM162" s="251"/>
      <c r="AN162" s="251"/>
      <c r="AO162" s="251"/>
    </row>
    <row r="163" spans="2:41" x14ac:dyDescent="0.25">
      <c r="B163" s="251"/>
      <c r="C163" s="251"/>
      <c r="D163" s="251"/>
      <c r="E163" s="251"/>
      <c r="F163" s="251"/>
      <c r="G163" s="252"/>
      <c r="H163" s="253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  <c r="W163" s="251"/>
      <c r="X163" s="251"/>
      <c r="Y163" s="251"/>
      <c r="Z163" s="251"/>
      <c r="AA163" s="251"/>
      <c r="AB163" s="251"/>
      <c r="AC163" s="251"/>
      <c r="AD163" s="251"/>
      <c r="AE163" s="251"/>
      <c r="AF163" s="251"/>
      <c r="AG163" s="251"/>
      <c r="AH163" s="251"/>
      <c r="AI163" s="251"/>
      <c r="AJ163" s="251"/>
      <c r="AK163" s="251"/>
      <c r="AL163" s="251"/>
      <c r="AM163" s="251"/>
      <c r="AN163" s="251"/>
      <c r="AO163" s="251"/>
    </row>
    <row r="164" spans="2:41" x14ac:dyDescent="0.25">
      <c r="B164" s="251"/>
      <c r="C164" s="251"/>
      <c r="D164" s="251"/>
      <c r="E164" s="251"/>
      <c r="F164" s="251"/>
      <c r="G164" s="252"/>
      <c r="H164" s="253"/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  <c r="AA164" s="251"/>
      <c r="AB164" s="251"/>
      <c r="AC164" s="251"/>
      <c r="AD164" s="251"/>
      <c r="AE164" s="251"/>
      <c r="AF164" s="251"/>
      <c r="AG164" s="251"/>
      <c r="AH164" s="251"/>
      <c r="AI164" s="251"/>
      <c r="AJ164" s="251"/>
      <c r="AK164" s="251"/>
      <c r="AL164" s="251"/>
      <c r="AM164" s="251"/>
      <c r="AN164" s="251"/>
      <c r="AO164" s="251"/>
    </row>
    <row r="165" spans="2:41" x14ac:dyDescent="0.25">
      <c r="B165" s="251"/>
      <c r="C165" s="251"/>
      <c r="D165" s="251"/>
      <c r="E165" s="251"/>
      <c r="F165" s="251"/>
      <c r="G165" s="252"/>
      <c r="H165" s="253"/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  <c r="W165" s="251"/>
      <c r="X165" s="251"/>
      <c r="Y165" s="251"/>
      <c r="Z165" s="251"/>
      <c r="AA165" s="251"/>
      <c r="AB165" s="251"/>
      <c r="AC165" s="251"/>
      <c r="AD165" s="251"/>
      <c r="AE165" s="251"/>
      <c r="AF165" s="251"/>
      <c r="AG165" s="251"/>
      <c r="AH165" s="251"/>
      <c r="AI165" s="251"/>
      <c r="AJ165" s="251"/>
      <c r="AK165" s="251"/>
      <c r="AL165" s="251"/>
      <c r="AM165" s="251"/>
      <c r="AN165" s="251"/>
      <c r="AO165" s="251"/>
    </row>
    <row r="166" spans="2:41" x14ac:dyDescent="0.25">
      <c r="B166" s="251"/>
      <c r="C166" s="251"/>
      <c r="D166" s="251"/>
      <c r="E166" s="251"/>
      <c r="F166" s="251"/>
      <c r="G166" s="252"/>
      <c r="H166" s="253"/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  <c r="W166" s="251"/>
      <c r="X166" s="251"/>
      <c r="Y166" s="251"/>
      <c r="Z166" s="251"/>
      <c r="AA166" s="251"/>
      <c r="AB166" s="251"/>
      <c r="AC166" s="251"/>
      <c r="AD166" s="251"/>
      <c r="AE166" s="251"/>
      <c r="AF166" s="251"/>
      <c r="AG166" s="251"/>
      <c r="AH166" s="251"/>
      <c r="AI166" s="251"/>
      <c r="AJ166" s="251"/>
      <c r="AK166" s="251"/>
      <c r="AL166" s="251"/>
      <c r="AM166" s="251"/>
      <c r="AN166" s="251"/>
      <c r="AO166" s="251"/>
    </row>
    <row r="167" spans="2:41" x14ac:dyDescent="0.25">
      <c r="B167" s="251"/>
      <c r="C167" s="251"/>
      <c r="D167" s="251"/>
      <c r="E167" s="251"/>
      <c r="F167" s="251"/>
      <c r="G167" s="252"/>
      <c r="H167" s="253"/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  <c r="W167" s="251"/>
      <c r="X167" s="251"/>
      <c r="Y167" s="251"/>
      <c r="Z167" s="251"/>
      <c r="AA167" s="251"/>
      <c r="AB167" s="251"/>
      <c r="AC167" s="251"/>
      <c r="AD167" s="251"/>
      <c r="AE167" s="251"/>
      <c r="AF167" s="251"/>
      <c r="AG167" s="251"/>
      <c r="AH167" s="251"/>
      <c r="AI167" s="251"/>
      <c r="AJ167" s="251"/>
      <c r="AK167" s="251"/>
      <c r="AL167" s="251"/>
      <c r="AM167" s="251"/>
      <c r="AN167" s="251"/>
      <c r="AO167" s="251"/>
    </row>
    <row r="168" spans="2:41" x14ac:dyDescent="0.25">
      <c r="B168" s="251"/>
      <c r="C168" s="251"/>
      <c r="D168" s="251"/>
      <c r="E168" s="251"/>
      <c r="F168" s="251"/>
      <c r="G168" s="252"/>
      <c r="H168" s="253"/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  <c r="AA168" s="251"/>
      <c r="AB168" s="251"/>
      <c r="AC168" s="251"/>
      <c r="AD168" s="251"/>
      <c r="AE168" s="251"/>
      <c r="AF168" s="251"/>
      <c r="AG168" s="251"/>
      <c r="AH168" s="251"/>
      <c r="AI168" s="251"/>
      <c r="AJ168" s="251"/>
      <c r="AK168" s="251"/>
      <c r="AL168" s="251"/>
      <c r="AM168" s="251"/>
      <c r="AN168" s="251"/>
      <c r="AO168" s="251"/>
    </row>
    <row r="169" spans="2:41" x14ac:dyDescent="0.25">
      <c r="B169" s="251"/>
      <c r="C169" s="251"/>
      <c r="D169" s="251"/>
      <c r="E169" s="251"/>
      <c r="F169" s="251"/>
      <c r="G169" s="252"/>
      <c r="H169" s="253"/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  <c r="W169" s="251"/>
      <c r="X169" s="251"/>
      <c r="Y169" s="251"/>
      <c r="Z169" s="251"/>
      <c r="AA169" s="251"/>
      <c r="AB169" s="251"/>
      <c r="AC169" s="251"/>
      <c r="AD169" s="251"/>
      <c r="AE169" s="251"/>
      <c r="AF169" s="251"/>
      <c r="AG169" s="251"/>
      <c r="AH169" s="251"/>
      <c r="AI169" s="251"/>
      <c r="AJ169" s="251"/>
      <c r="AK169" s="251"/>
      <c r="AL169" s="251"/>
      <c r="AM169" s="251"/>
      <c r="AN169" s="251"/>
      <c r="AO169" s="251"/>
    </row>
    <row r="170" spans="2:41" x14ac:dyDescent="0.25">
      <c r="B170" s="251"/>
      <c r="C170" s="251"/>
      <c r="D170" s="251"/>
      <c r="E170" s="251"/>
      <c r="F170" s="251"/>
      <c r="G170" s="252"/>
      <c r="H170" s="253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  <c r="AA170" s="251"/>
      <c r="AB170" s="251"/>
      <c r="AC170" s="251"/>
      <c r="AD170" s="251"/>
      <c r="AE170" s="251"/>
      <c r="AF170" s="251"/>
      <c r="AG170" s="251"/>
      <c r="AH170" s="251"/>
      <c r="AI170" s="251"/>
      <c r="AJ170" s="251"/>
      <c r="AK170" s="251"/>
      <c r="AL170" s="251"/>
      <c r="AM170" s="251"/>
      <c r="AN170" s="251"/>
      <c r="AO170" s="251"/>
    </row>
    <row r="171" spans="2:41" x14ac:dyDescent="0.25">
      <c r="B171" s="251"/>
      <c r="C171" s="251"/>
      <c r="D171" s="251"/>
      <c r="E171" s="251"/>
      <c r="F171" s="251"/>
      <c r="G171" s="252"/>
      <c r="H171" s="253"/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  <c r="W171" s="251"/>
      <c r="X171" s="251"/>
      <c r="Y171" s="251"/>
      <c r="Z171" s="251"/>
      <c r="AA171" s="251"/>
      <c r="AB171" s="251"/>
      <c r="AC171" s="251"/>
      <c r="AD171" s="251"/>
      <c r="AE171" s="251"/>
      <c r="AF171" s="251"/>
      <c r="AG171" s="251"/>
      <c r="AH171" s="251"/>
      <c r="AI171" s="251"/>
      <c r="AJ171" s="251"/>
      <c r="AK171" s="251"/>
      <c r="AL171" s="251"/>
      <c r="AM171" s="251"/>
      <c r="AN171" s="251"/>
      <c r="AO171" s="251"/>
    </row>
    <row r="172" spans="2:41" x14ac:dyDescent="0.25">
      <c r="B172" s="251"/>
      <c r="C172" s="251"/>
      <c r="D172" s="251"/>
      <c r="E172" s="251"/>
      <c r="F172" s="251"/>
      <c r="G172" s="252"/>
      <c r="H172" s="253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  <c r="AA172" s="251"/>
      <c r="AB172" s="251"/>
      <c r="AC172" s="251"/>
      <c r="AD172" s="251"/>
      <c r="AE172" s="251"/>
      <c r="AF172" s="251"/>
      <c r="AG172" s="251"/>
      <c r="AH172" s="251"/>
      <c r="AI172" s="251"/>
      <c r="AJ172" s="251"/>
      <c r="AK172" s="251"/>
      <c r="AL172" s="251"/>
      <c r="AM172" s="251"/>
      <c r="AN172" s="251"/>
      <c r="AO172" s="251"/>
    </row>
    <row r="173" spans="2:41" x14ac:dyDescent="0.25">
      <c r="B173" s="251"/>
      <c r="C173" s="251"/>
      <c r="D173" s="251"/>
      <c r="E173" s="251"/>
      <c r="F173" s="251"/>
      <c r="G173" s="252"/>
      <c r="H173" s="253"/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  <c r="S173" s="251"/>
      <c r="T173" s="251"/>
      <c r="U173" s="251"/>
      <c r="V173" s="251"/>
      <c r="W173" s="251"/>
      <c r="X173" s="251"/>
      <c r="Y173" s="251"/>
      <c r="Z173" s="251"/>
      <c r="AA173" s="251"/>
      <c r="AB173" s="251"/>
      <c r="AC173" s="251"/>
      <c r="AD173" s="251"/>
      <c r="AE173" s="251"/>
      <c r="AF173" s="251"/>
      <c r="AG173" s="251"/>
      <c r="AH173" s="251"/>
      <c r="AI173" s="251"/>
      <c r="AJ173" s="251"/>
      <c r="AK173" s="251"/>
      <c r="AL173" s="251"/>
      <c r="AM173" s="251"/>
      <c r="AN173" s="251"/>
      <c r="AO173" s="251"/>
    </row>
    <row r="174" spans="2:41" x14ac:dyDescent="0.25">
      <c r="B174" s="251"/>
      <c r="C174" s="251"/>
      <c r="D174" s="251"/>
      <c r="E174" s="251"/>
      <c r="F174" s="251"/>
      <c r="G174" s="252"/>
      <c r="H174" s="253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  <c r="AA174" s="251"/>
      <c r="AB174" s="251"/>
      <c r="AC174" s="251"/>
      <c r="AD174" s="251"/>
      <c r="AE174" s="251"/>
      <c r="AF174" s="251"/>
      <c r="AG174" s="251"/>
      <c r="AH174" s="251"/>
      <c r="AI174" s="251"/>
      <c r="AJ174" s="251"/>
      <c r="AK174" s="251"/>
      <c r="AL174" s="251"/>
      <c r="AM174" s="251"/>
      <c r="AN174" s="251"/>
      <c r="AO174" s="251"/>
    </row>
    <row r="175" spans="2:41" x14ac:dyDescent="0.25">
      <c r="B175" s="251"/>
      <c r="C175" s="251"/>
      <c r="D175" s="251"/>
      <c r="E175" s="251"/>
      <c r="F175" s="251"/>
      <c r="G175" s="252"/>
      <c r="H175" s="253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</row>
    <row r="176" spans="2:41" x14ac:dyDescent="0.25">
      <c r="B176" s="251"/>
      <c r="C176" s="251"/>
      <c r="D176" s="251"/>
      <c r="E176" s="251"/>
      <c r="F176" s="251"/>
      <c r="G176" s="252"/>
      <c r="H176" s="253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</row>
    <row r="177" spans="2:41" x14ac:dyDescent="0.25">
      <c r="B177" s="251"/>
      <c r="C177" s="251"/>
      <c r="D177" s="251"/>
      <c r="E177" s="251"/>
      <c r="F177" s="251"/>
      <c r="G177" s="252"/>
      <c r="H177" s="253"/>
      <c r="I177" s="251"/>
      <c r="J177" s="251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</row>
    <row r="178" spans="2:41" x14ac:dyDescent="0.25">
      <c r="B178" s="251"/>
      <c r="C178" s="251"/>
      <c r="D178" s="251"/>
      <c r="E178" s="251"/>
      <c r="F178" s="251"/>
      <c r="G178" s="252"/>
      <c r="H178" s="253"/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</row>
    <row r="179" spans="2:41" x14ac:dyDescent="0.25">
      <c r="B179" s="251"/>
      <c r="C179" s="251"/>
      <c r="D179" s="251"/>
      <c r="E179" s="251"/>
      <c r="F179" s="251"/>
      <c r="G179" s="252"/>
      <c r="H179" s="253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</row>
    <row r="180" spans="2:41" x14ac:dyDescent="0.25">
      <c r="B180" s="251"/>
      <c r="C180" s="251"/>
      <c r="D180" s="251"/>
      <c r="E180" s="251"/>
      <c r="F180" s="251"/>
      <c r="G180" s="252"/>
      <c r="H180" s="253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</row>
    <row r="181" spans="2:41" x14ac:dyDescent="0.25">
      <c r="B181" s="251"/>
      <c r="C181" s="251"/>
      <c r="D181" s="251"/>
      <c r="E181" s="251"/>
      <c r="F181" s="251"/>
      <c r="G181" s="252"/>
      <c r="H181" s="253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</row>
    <row r="182" spans="2:41" x14ac:dyDescent="0.25">
      <c r="B182" s="251"/>
      <c r="C182" s="251"/>
      <c r="D182" s="251"/>
      <c r="E182" s="251"/>
      <c r="F182" s="251"/>
      <c r="G182" s="252"/>
      <c r="H182" s="253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</row>
    <row r="183" spans="2:41" x14ac:dyDescent="0.25">
      <c r="B183" s="251"/>
      <c r="C183" s="251"/>
      <c r="D183" s="251"/>
      <c r="E183" s="251"/>
      <c r="F183" s="251"/>
      <c r="G183" s="252"/>
      <c r="H183" s="253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</row>
    <row r="184" spans="2:41" x14ac:dyDescent="0.25">
      <c r="B184" s="251"/>
      <c r="C184" s="251"/>
      <c r="D184" s="251"/>
      <c r="E184" s="251"/>
      <c r="F184" s="251"/>
      <c r="G184" s="252"/>
      <c r="H184" s="253"/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</row>
    <row r="185" spans="2:41" x14ac:dyDescent="0.25">
      <c r="B185" s="251"/>
      <c r="C185" s="251"/>
      <c r="D185" s="251"/>
      <c r="E185" s="251"/>
      <c r="F185" s="251"/>
      <c r="G185" s="252"/>
      <c r="H185" s="253"/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</row>
    <row r="186" spans="2:41" x14ac:dyDescent="0.25">
      <c r="B186" s="251"/>
      <c r="C186" s="251"/>
      <c r="D186" s="251"/>
      <c r="E186" s="251"/>
      <c r="F186" s="251"/>
      <c r="G186" s="252"/>
      <c r="H186" s="253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</row>
    <row r="187" spans="2:41" x14ac:dyDescent="0.25">
      <c r="B187" s="251"/>
      <c r="C187" s="251"/>
      <c r="D187" s="251"/>
      <c r="E187" s="251"/>
      <c r="F187" s="251"/>
      <c r="G187" s="252"/>
      <c r="H187" s="253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</row>
    <row r="188" spans="2:41" x14ac:dyDescent="0.25">
      <c r="B188" s="251"/>
      <c r="C188" s="251"/>
      <c r="D188" s="251"/>
      <c r="E188" s="251"/>
      <c r="F188" s="251"/>
      <c r="G188" s="252"/>
      <c r="H188" s="253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</row>
    <row r="189" spans="2:41" x14ac:dyDescent="0.25">
      <c r="B189" s="251"/>
      <c r="C189" s="251"/>
      <c r="D189" s="251"/>
      <c r="E189" s="251"/>
      <c r="F189" s="251"/>
      <c r="G189" s="252"/>
      <c r="H189" s="253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</row>
    <row r="190" spans="2:41" x14ac:dyDescent="0.25">
      <c r="B190" s="251"/>
      <c r="C190" s="251"/>
      <c r="D190" s="251"/>
      <c r="E190" s="251"/>
      <c r="F190" s="251"/>
      <c r="G190" s="252"/>
      <c r="H190" s="253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</row>
    <row r="191" spans="2:41" x14ac:dyDescent="0.25">
      <c r="B191" s="251"/>
      <c r="C191" s="251"/>
      <c r="D191" s="251"/>
      <c r="E191" s="251"/>
      <c r="F191" s="251"/>
      <c r="G191" s="252"/>
      <c r="H191" s="253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</row>
    <row r="192" spans="2:41" x14ac:dyDescent="0.25">
      <c r="B192" s="251"/>
      <c r="C192" s="251"/>
      <c r="D192" s="251"/>
      <c r="E192" s="251"/>
      <c r="F192" s="251"/>
      <c r="G192" s="252"/>
      <c r="H192" s="253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</row>
    <row r="193" spans="2:41" x14ac:dyDescent="0.25">
      <c r="B193" s="251"/>
      <c r="C193" s="251"/>
      <c r="D193" s="251"/>
      <c r="E193" s="251"/>
      <c r="F193" s="251"/>
      <c r="G193" s="252"/>
      <c r="H193" s="253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</row>
    <row r="194" spans="2:41" x14ac:dyDescent="0.25">
      <c r="B194" s="251"/>
      <c r="C194" s="251"/>
      <c r="D194" s="251"/>
      <c r="E194" s="251"/>
      <c r="F194" s="251"/>
      <c r="G194" s="252"/>
      <c r="H194" s="253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</row>
    <row r="195" spans="2:41" x14ac:dyDescent="0.25">
      <c r="B195" s="251"/>
      <c r="C195" s="251"/>
      <c r="D195" s="251"/>
      <c r="E195" s="251"/>
      <c r="F195" s="251"/>
      <c r="G195" s="252"/>
      <c r="H195" s="253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</row>
    <row r="196" spans="2:41" x14ac:dyDescent="0.25">
      <c r="B196" s="251"/>
      <c r="C196" s="251"/>
      <c r="D196" s="251"/>
      <c r="E196" s="251"/>
      <c r="F196" s="251"/>
      <c r="G196" s="252"/>
      <c r="H196" s="253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</row>
    <row r="197" spans="2:41" x14ac:dyDescent="0.25">
      <c r="B197" s="251"/>
      <c r="C197" s="251"/>
      <c r="D197" s="251"/>
      <c r="E197" s="251"/>
      <c r="F197" s="251"/>
      <c r="G197" s="252"/>
      <c r="H197" s="253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</row>
    <row r="198" spans="2:41" x14ac:dyDescent="0.25">
      <c r="B198" s="251"/>
      <c r="C198" s="251"/>
      <c r="D198" s="251"/>
      <c r="E198" s="251"/>
      <c r="F198" s="251"/>
      <c r="G198" s="252"/>
      <c r="H198" s="253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</row>
    <row r="199" spans="2:41" x14ac:dyDescent="0.25">
      <c r="B199" s="251"/>
      <c r="C199" s="251"/>
      <c r="D199" s="251"/>
      <c r="E199" s="251"/>
      <c r="F199" s="251"/>
      <c r="G199" s="252"/>
      <c r="H199" s="253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</row>
    <row r="200" spans="2:41" x14ac:dyDescent="0.25">
      <c r="B200" s="251"/>
      <c r="C200" s="251"/>
      <c r="D200" s="251"/>
      <c r="E200" s="251"/>
      <c r="F200" s="251"/>
      <c r="G200" s="252"/>
      <c r="H200" s="253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</row>
    <row r="201" spans="2:41" x14ac:dyDescent="0.25">
      <c r="B201" s="251"/>
      <c r="C201" s="251"/>
      <c r="D201" s="251"/>
      <c r="E201" s="251"/>
      <c r="F201" s="251"/>
      <c r="G201" s="252"/>
      <c r="H201" s="253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</row>
    <row r="202" spans="2:41" x14ac:dyDescent="0.25">
      <c r="B202" s="251"/>
      <c r="C202" s="251"/>
      <c r="D202" s="251"/>
      <c r="E202" s="251"/>
      <c r="F202" s="251"/>
      <c r="G202" s="252"/>
      <c r="H202" s="253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</row>
    <row r="203" spans="2:41" x14ac:dyDescent="0.25">
      <c r="B203" s="251"/>
      <c r="C203" s="251"/>
      <c r="D203" s="251"/>
      <c r="E203" s="251"/>
      <c r="F203" s="251"/>
      <c r="G203" s="252"/>
      <c r="H203" s="253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</row>
    <row r="204" spans="2:41" x14ac:dyDescent="0.25">
      <c r="B204" s="251"/>
      <c r="C204" s="251"/>
      <c r="D204" s="251"/>
      <c r="E204" s="251"/>
      <c r="F204" s="251"/>
      <c r="G204" s="252"/>
      <c r="H204" s="253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</row>
    <row r="205" spans="2:41" x14ac:dyDescent="0.25">
      <c r="B205" s="251"/>
      <c r="C205" s="251"/>
      <c r="D205" s="251"/>
      <c r="E205" s="251"/>
      <c r="F205" s="251"/>
      <c r="G205" s="252"/>
      <c r="H205" s="253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251"/>
    </row>
    <row r="206" spans="2:41" x14ac:dyDescent="0.25">
      <c r="B206" s="251"/>
      <c r="C206" s="251"/>
      <c r="D206" s="251"/>
      <c r="E206" s="251"/>
      <c r="F206" s="251"/>
      <c r="G206" s="252"/>
      <c r="H206" s="253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</row>
    <row r="207" spans="2:41" x14ac:dyDescent="0.25">
      <c r="B207" s="251"/>
      <c r="C207" s="251"/>
      <c r="D207" s="251"/>
      <c r="E207" s="251"/>
      <c r="F207" s="251"/>
      <c r="G207" s="252"/>
      <c r="H207" s="253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</row>
    <row r="208" spans="2:41" x14ac:dyDescent="0.25">
      <c r="B208" s="251"/>
      <c r="C208" s="251"/>
      <c r="D208" s="251"/>
      <c r="E208" s="251"/>
      <c r="F208" s="251"/>
      <c r="G208" s="252"/>
      <c r="H208" s="253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</row>
    <row r="209" spans="2:41" x14ac:dyDescent="0.25">
      <c r="B209" s="251"/>
      <c r="C209" s="251"/>
      <c r="D209" s="251"/>
      <c r="E209" s="251"/>
      <c r="F209" s="251"/>
      <c r="G209" s="252"/>
      <c r="H209" s="253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</row>
    <row r="210" spans="2:41" x14ac:dyDescent="0.25">
      <c r="B210" s="251"/>
      <c r="C210" s="251"/>
      <c r="D210" s="251"/>
      <c r="E210" s="251"/>
      <c r="F210" s="251"/>
      <c r="G210" s="252"/>
      <c r="H210" s="253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</row>
    <row r="211" spans="2:41" x14ac:dyDescent="0.25">
      <c r="B211" s="251"/>
      <c r="C211" s="251"/>
      <c r="D211" s="251"/>
      <c r="E211" s="251"/>
      <c r="F211" s="251"/>
      <c r="G211" s="252"/>
      <c r="H211" s="253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</row>
    <row r="212" spans="2:41" x14ac:dyDescent="0.25">
      <c r="B212" s="251"/>
      <c r="C212" s="251"/>
      <c r="D212" s="251"/>
      <c r="E212" s="251"/>
      <c r="F212" s="251"/>
      <c r="G212" s="252"/>
      <c r="H212" s="253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</row>
    <row r="213" spans="2:41" x14ac:dyDescent="0.25">
      <c r="B213" s="251"/>
      <c r="C213" s="251"/>
      <c r="D213" s="251"/>
      <c r="E213" s="251"/>
      <c r="F213" s="251"/>
      <c r="G213" s="252"/>
      <c r="H213" s="253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</row>
    <row r="214" spans="2:41" x14ac:dyDescent="0.25">
      <c r="B214" s="251"/>
      <c r="C214" s="251"/>
      <c r="D214" s="251"/>
      <c r="E214" s="251"/>
      <c r="F214" s="251"/>
      <c r="G214" s="252"/>
      <c r="H214" s="253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</row>
    <row r="215" spans="2:41" x14ac:dyDescent="0.25">
      <c r="B215" s="251"/>
      <c r="C215" s="251"/>
      <c r="D215" s="251"/>
      <c r="E215" s="251"/>
      <c r="F215" s="251"/>
      <c r="G215" s="252"/>
      <c r="H215" s="253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</row>
    <row r="216" spans="2:41" x14ac:dyDescent="0.25">
      <c r="B216" s="251"/>
      <c r="C216" s="251"/>
      <c r="D216" s="251"/>
      <c r="E216" s="251"/>
      <c r="F216" s="251"/>
      <c r="G216" s="252"/>
      <c r="H216" s="253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</row>
    <row r="217" spans="2:41" x14ac:dyDescent="0.25">
      <c r="B217" s="251"/>
      <c r="C217" s="251"/>
      <c r="D217" s="251"/>
      <c r="E217" s="251"/>
      <c r="F217" s="251"/>
      <c r="G217" s="252"/>
      <c r="H217" s="253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</row>
    <row r="218" spans="2:41" x14ac:dyDescent="0.25">
      <c r="B218" s="251"/>
      <c r="C218" s="251"/>
      <c r="D218" s="251"/>
      <c r="E218" s="251"/>
      <c r="F218" s="251"/>
      <c r="G218" s="252"/>
      <c r="H218" s="253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</row>
    <row r="219" spans="2:41" x14ac:dyDescent="0.25">
      <c r="B219" s="251"/>
      <c r="C219" s="251"/>
      <c r="D219" s="251"/>
      <c r="E219" s="251"/>
      <c r="F219" s="251"/>
      <c r="G219" s="252"/>
      <c r="H219" s="253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</row>
    <row r="220" spans="2:41" x14ac:dyDescent="0.25">
      <c r="B220" s="251"/>
      <c r="C220" s="251"/>
      <c r="D220" s="251"/>
      <c r="E220" s="251"/>
      <c r="F220" s="251"/>
      <c r="G220" s="252"/>
      <c r="H220" s="253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</row>
    <row r="221" spans="2:41" x14ac:dyDescent="0.25">
      <c r="B221" s="251"/>
      <c r="C221" s="251"/>
      <c r="D221" s="251"/>
      <c r="E221" s="251"/>
      <c r="F221" s="251"/>
      <c r="G221" s="252"/>
      <c r="H221" s="253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</row>
    <row r="222" spans="2:41" x14ac:dyDescent="0.25">
      <c r="B222" s="251"/>
      <c r="C222" s="251"/>
      <c r="D222" s="251"/>
      <c r="E222" s="251"/>
      <c r="F222" s="251"/>
      <c r="G222" s="252"/>
      <c r="H222" s="253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</row>
    <row r="223" spans="2:41" x14ac:dyDescent="0.25">
      <c r="B223" s="251"/>
      <c r="C223" s="251"/>
      <c r="D223" s="251"/>
      <c r="E223" s="251"/>
      <c r="F223" s="251"/>
      <c r="G223" s="252"/>
      <c r="H223" s="253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</row>
    <row r="224" spans="2:41" x14ac:dyDescent="0.25">
      <c r="B224" s="251"/>
      <c r="C224" s="251"/>
      <c r="D224" s="251"/>
      <c r="E224" s="251"/>
      <c r="F224" s="251"/>
      <c r="G224" s="252"/>
      <c r="H224" s="253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</row>
    <row r="225" spans="2:41" x14ac:dyDescent="0.25">
      <c r="B225" s="251"/>
      <c r="C225" s="251"/>
      <c r="D225" s="251"/>
      <c r="E225" s="251"/>
      <c r="F225" s="251"/>
      <c r="G225" s="252"/>
      <c r="H225" s="253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</row>
    <row r="226" spans="2:41" x14ac:dyDescent="0.25">
      <c r="B226" s="251"/>
      <c r="C226" s="251"/>
      <c r="D226" s="251"/>
      <c r="E226" s="251"/>
      <c r="F226" s="251"/>
      <c r="G226" s="252"/>
      <c r="H226" s="253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</row>
    <row r="227" spans="2:41" x14ac:dyDescent="0.25">
      <c r="B227" s="251"/>
      <c r="C227" s="251"/>
      <c r="D227" s="251"/>
      <c r="E227" s="251"/>
      <c r="F227" s="251"/>
      <c r="G227" s="252"/>
      <c r="H227" s="253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</row>
    <row r="228" spans="2:41" x14ac:dyDescent="0.25">
      <c r="B228" s="251"/>
      <c r="C228" s="251"/>
      <c r="D228" s="251"/>
      <c r="E228" s="251"/>
      <c r="F228" s="251"/>
      <c r="G228" s="252"/>
      <c r="H228" s="253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</row>
    <row r="229" spans="2:41" x14ac:dyDescent="0.25">
      <c r="B229" s="251"/>
      <c r="C229" s="251"/>
      <c r="D229" s="251"/>
      <c r="E229" s="251"/>
      <c r="F229" s="251"/>
      <c r="G229" s="252"/>
      <c r="H229" s="253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</row>
    <row r="230" spans="2:41" x14ac:dyDescent="0.25">
      <c r="B230" s="251"/>
      <c r="C230" s="251"/>
      <c r="D230" s="251"/>
      <c r="E230" s="251"/>
      <c r="F230" s="251"/>
      <c r="G230" s="252"/>
      <c r="H230" s="253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</row>
    <row r="231" spans="2:41" x14ac:dyDescent="0.25">
      <c r="B231" s="251"/>
      <c r="C231" s="251"/>
      <c r="D231" s="251"/>
      <c r="E231" s="251"/>
      <c r="F231" s="251"/>
      <c r="G231" s="252"/>
      <c r="H231" s="253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</row>
    <row r="232" spans="2:41" x14ac:dyDescent="0.25">
      <c r="B232" s="251"/>
      <c r="C232" s="251"/>
      <c r="D232" s="251"/>
      <c r="E232" s="251"/>
      <c r="F232" s="251"/>
      <c r="G232" s="252"/>
      <c r="H232" s="253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</row>
    <row r="233" spans="2:41" x14ac:dyDescent="0.25">
      <c r="B233" s="251"/>
      <c r="C233" s="251"/>
      <c r="D233" s="251"/>
      <c r="E233" s="251"/>
      <c r="F233" s="251"/>
      <c r="G233" s="252"/>
      <c r="H233" s="253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</row>
    <row r="234" spans="2:41" x14ac:dyDescent="0.25">
      <c r="B234" s="251"/>
      <c r="C234" s="251"/>
      <c r="D234" s="251"/>
      <c r="E234" s="251"/>
      <c r="F234" s="251"/>
      <c r="G234" s="252"/>
      <c r="H234" s="253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</row>
    <row r="235" spans="2:41" x14ac:dyDescent="0.25">
      <c r="B235" s="251"/>
      <c r="C235" s="251"/>
      <c r="D235" s="251"/>
      <c r="E235" s="251"/>
      <c r="F235" s="251"/>
      <c r="G235" s="252"/>
      <c r="H235" s="253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</row>
    <row r="236" spans="2:41" x14ac:dyDescent="0.25">
      <c r="B236" s="251"/>
      <c r="C236" s="251"/>
      <c r="D236" s="251"/>
      <c r="E236" s="251"/>
      <c r="F236" s="251"/>
      <c r="G236" s="252"/>
      <c r="H236" s="253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</row>
    <row r="237" spans="2:41" x14ac:dyDescent="0.25">
      <c r="B237" s="251"/>
      <c r="C237" s="251"/>
      <c r="D237" s="251"/>
      <c r="E237" s="251"/>
      <c r="F237" s="251"/>
      <c r="G237" s="252"/>
      <c r="H237" s="253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</row>
    <row r="238" spans="2:41" x14ac:dyDescent="0.25">
      <c r="B238" s="251"/>
      <c r="C238" s="251"/>
      <c r="D238" s="251"/>
      <c r="E238" s="251"/>
      <c r="F238" s="251"/>
      <c r="G238" s="252"/>
      <c r="H238" s="253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</row>
    <row r="239" spans="2:41" x14ac:dyDescent="0.25">
      <c r="B239" s="251"/>
      <c r="C239" s="251"/>
      <c r="D239" s="251"/>
      <c r="E239" s="251"/>
      <c r="F239" s="251"/>
      <c r="G239" s="252"/>
      <c r="H239" s="253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</row>
    <row r="240" spans="2:41" x14ac:dyDescent="0.25">
      <c r="B240" s="251"/>
      <c r="C240" s="251"/>
      <c r="D240" s="251"/>
      <c r="E240" s="251"/>
      <c r="F240" s="251"/>
      <c r="G240" s="252"/>
      <c r="H240" s="253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</row>
    <row r="241" spans="2:41" x14ac:dyDescent="0.25">
      <c r="B241" s="251"/>
      <c r="C241" s="251"/>
      <c r="D241" s="251"/>
      <c r="E241" s="251"/>
      <c r="F241" s="251"/>
      <c r="G241" s="252"/>
      <c r="H241" s="253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</row>
    <row r="242" spans="2:41" x14ac:dyDescent="0.25">
      <c r="B242" s="251"/>
      <c r="C242" s="251"/>
      <c r="D242" s="251"/>
      <c r="E242" s="251"/>
      <c r="F242" s="251"/>
      <c r="G242" s="252"/>
      <c r="H242" s="253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</row>
    <row r="243" spans="2:41" x14ac:dyDescent="0.25">
      <c r="B243" s="251"/>
      <c r="C243" s="251"/>
      <c r="D243" s="251"/>
      <c r="E243" s="251"/>
      <c r="F243" s="251"/>
      <c r="G243" s="252"/>
      <c r="H243" s="253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</row>
    <row r="244" spans="2:41" x14ac:dyDescent="0.25">
      <c r="B244" s="251"/>
      <c r="C244" s="251"/>
      <c r="D244" s="251"/>
      <c r="E244" s="251"/>
      <c r="F244" s="251"/>
      <c r="G244" s="252"/>
      <c r="H244" s="253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</row>
    <row r="245" spans="2:41" x14ac:dyDescent="0.25">
      <c r="B245" s="251"/>
      <c r="C245" s="251"/>
      <c r="D245" s="251"/>
      <c r="E245" s="251"/>
      <c r="F245" s="251"/>
      <c r="G245" s="252"/>
      <c r="H245" s="253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</row>
    <row r="246" spans="2:41" x14ac:dyDescent="0.25">
      <c r="B246" s="251"/>
      <c r="C246" s="251"/>
      <c r="D246" s="251"/>
      <c r="E246" s="251"/>
      <c r="F246" s="251"/>
      <c r="G246" s="252"/>
      <c r="H246" s="253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</row>
    <row r="247" spans="2:41" x14ac:dyDescent="0.25">
      <c r="B247" s="251"/>
      <c r="C247" s="251"/>
      <c r="D247" s="251"/>
      <c r="E247" s="251"/>
      <c r="F247" s="251"/>
      <c r="G247" s="252"/>
      <c r="H247" s="253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</row>
    <row r="248" spans="2:41" x14ac:dyDescent="0.25">
      <c r="B248" s="251"/>
      <c r="C248" s="251"/>
      <c r="D248" s="251"/>
      <c r="E248" s="251"/>
      <c r="F248" s="251"/>
      <c r="G248" s="252"/>
      <c r="H248" s="253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</row>
    <row r="249" spans="2:41" x14ac:dyDescent="0.25">
      <c r="B249" s="251"/>
      <c r="C249" s="251"/>
      <c r="D249" s="251"/>
      <c r="E249" s="251"/>
      <c r="F249" s="251"/>
      <c r="G249" s="252"/>
      <c r="H249" s="253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</row>
    <row r="250" spans="2:41" x14ac:dyDescent="0.25">
      <c r="B250" s="251"/>
      <c r="C250" s="251"/>
      <c r="D250" s="251"/>
      <c r="E250" s="251"/>
      <c r="F250" s="251"/>
      <c r="G250" s="252"/>
      <c r="H250" s="253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</row>
    <row r="251" spans="2:41" x14ac:dyDescent="0.25">
      <c r="B251" s="251"/>
      <c r="C251" s="251"/>
      <c r="D251" s="251"/>
      <c r="E251" s="251"/>
      <c r="F251" s="251"/>
      <c r="G251" s="252"/>
      <c r="H251" s="253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</row>
    <row r="252" spans="2:41" x14ac:dyDescent="0.25">
      <c r="B252" s="251"/>
      <c r="C252" s="251"/>
      <c r="D252" s="251"/>
      <c r="E252" s="251"/>
      <c r="F252" s="251"/>
      <c r="G252" s="252"/>
      <c r="H252" s="253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</row>
    <row r="253" spans="2:41" x14ac:dyDescent="0.25">
      <c r="B253" s="251"/>
      <c r="C253" s="251"/>
      <c r="D253" s="251"/>
      <c r="E253" s="251"/>
      <c r="F253" s="251"/>
      <c r="G253" s="252"/>
      <c r="H253" s="253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</row>
    <row r="254" spans="2:41" x14ac:dyDescent="0.25">
      <c r="B254" s="251"/>
      <c r="C254" s="251"/>
      <c r="D254" s="251"/>
      <c r="E254" s="251"/>
      <c r="F254" s="251"/>
      <c r="G254" s="252"/>
      <c r="H254" s="253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</row>
    <row r="255" spans="2:41" x14ac:dyDescent="0.25">
      <c r="B255" s="251"/>
      <c r="C255" s="251"/>
      <c r="D255" s="251"/>
      <c r="E255" s="251"/>
      <c r="F255" s="251"/>
      <c r="G255" s="252"/>
      <c r="H255" s="253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</row>
    <row r="256" spans="2:41" x14ac:dyDescent="0.25">
      <c r="B256" s="251"/>
      <c r="C256" s="251"/>
      <c r="D256" s="251"/>
      <c r="E256" s="251"/>
      <c r="F256" s="251"/>
      <c r="G256" s="252"/>
      <c r="H256" s="253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</row>
    <row r="257" spans="2:41" x14ac:dyDescent="0.25">
      <c r="B257" s="251"/>
      <c r="C257" s="251"/>
      <c r="D257" s="251"/>
      <c r="E257" s="251"/>
      <c r="F257" s="251"/>
      <c r="G257" s="252"/>
      <c r="H257" s="253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</row>
    <row r="258" spans="2:41" x14ac:dyDescent="0.25">
      <c r="B258" s="251"/>
      <c r="C258" s="251"/>
      <c r="D258" s="251"/>
      <c r="E258" s="251"/>
      <c r="F258" s="251"/>
      <c r="G258" s="252"/>
      <c r="H258" s="253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</row>
    <row r="259" spans="2:41" x14ac:dyDescent="0.25">
      <c r="B259" s="251"/>
      <c r="C259" s="251"/>
      <c r="D259" s="251"/>
      <c r="E259" s="251"/>
      <c r="F259" s="251"/>
      <c r="G259" s="252"/>
      <c r="H259" s="253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</row>
    <row r="260" spans="2:41" x14ac:dyDescent="0.25">
      <c r="B260" s="251"/>
      <c r="C260" s="251"/>
      <c r="D260" s="251"/>
      <c r="E260" s="251"/>
      <c r="F260" s="251"/>
      <c r="G260" s="252"/>
      <c r="H260" s="253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</row>
    <row r="261" spans="2:41" x14ac:dyDescent="0.25">
      <c r="B261" s="251"/>
      <c r="C261" s="251"/>
      <c r="D261" s="251"/>
      <c r="E261" s="251"/>
      <c r="F261" s="251"/>
      <c r="G261" s="252"/>
      <c r="H261" s="253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</row>
    <row r="262" spans="2:41" x14ac:dyDescent="0.25">
      <c r="B262" s="251"/>
      <c r="C262" s="251"/>
      <c r="D262" s="251"/>
      <c r="E262" s="251"/>
      <c r="F262" s="251"/>
      <c r="G262" s="252"/>
      <c r="H262" s="253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</row>
    <row r="263" spans="2:41" x14ac:dyDescent="0.25">
      <c r="B263" s="251"/>
      <c r="C263" s="251"/>
      <c r="D263" s="251"/>
      <c r="E263" s="251"/>
      <c r="F263" s="251"/>
      <c r="G263" s="252"/>
      <c r="H263" s="253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</row>
    <row r="264" spans="2:41" x14ac:dyDescent="0.25">
      <c r="B264" s="251"/>
      <c r="C264" s="251"/>
      <c r="D264" s="251"/>
      <c r="E264" s="251"/>
      <c r="F264" s="251"/>
      <c r="G264" s="252"/>
      <c r="H264" s="253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</row>
    <row r="265" spans="2:41" x14ac:dyDescent="0.25">
      <c r="B265" s="251"/>
      <c r="C265" s="251"/>
      <c r="D265" s="251"/>
      <c r="E265" s="251"/>
      <c r="F265" s="251"/>
      <c r="G265" s="252"/>
      <c r="H265" s="253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</row>
    <row r="266" spans="2:41" x14ac:dyDescent="0.25">
      <c r="B266" s="251"/>
      <c r="C266" s="251"/>
      <c r="D266" s="251"/>
      <c r="E266" s="251"/>
      <c r="F266" s="251"/>
      <c r="G266" s="252"/>
      <c r="H266" s="253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</row>
    <row r="267" spans="2:41" x14ac:dyDescent="0.25">
      <c r="B267" s="251"/>
      <c r="C267" s="251"/>
      <c r="D267" s="251"/>
      <c r="E267" s="251"/>
      <c r="F267" s="251"/>
      <c r="G267" s="252"/>
      <c r="H267" s="253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</row>
    <row r="268" spans="2:41" x14ac:dyDescent="0.25">
      <c r="B268" s="251"/>
      <c r="C268" s="251"/>
      <c r="D268" s="251"/>
      <c r="E268" s="251"/>
      <c r="F268" s="251"/>
      <c r="G268" s="252"/>
      <c r="H268" s="253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</row>
    <row r="269" spans="2:41" x14ac:dyDescent="0.25">
      <c r="B269" s="251"/>
      <c r="C269" s="251"/>
      <c r="D269" s="251"/>
      <c r="E269" s="251"/>
      <c r="F269" s="251"/>
      <c r="G269" s="252"/>
      <c r="H269" s="253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</row>
    <row r="270" spans="2:41" x14ac:dyDescent="0.25">
      <c r="B270" s="251"/>
      <c r="C270" s="251"/>
      <c r="D270" s="251"/>
      <c r="E270" s="251"/>
      <c r="F270" s="251"/>
      <c r="G270" s="252"/>
      <c r="H270" s="253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</row>
    <row r="271" spans="2:41" x14ac:dyDescent="0.25">
      <c r="B271" s="251"/>
      <c r="C271" s="251"/>
      <c r="D271" s="251"/>
      <c r="E271" s="251"/>
      <c r="F271" s="251"/>
      <c r="G271" s="252"/>
      <c r="H271" s="253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</row>
    <row r="272" spans="2:41" x14ac:dyDescent="0.25">
      <c r="B272" s="251"/>
      <c r="C272" s="251"/>
      <c r="D272" s="251"/>
      <c r="E272" s="251"/>
      <c r="F272" s="251"/>
      <c r="G272" s="252"/>
      <c r="H272" s="253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</row>
    <row r="273" spans="2:41" x14ac:dyDescent="0.25">
      <c r="B273" s="251"/>
      <c r="C273" s="251"/>
      <c r="D273" s="251"/>
      <c r="E273" s="251"/>
      <c r="F273" s="251"/>
      <c r="G273" s="252"/>
      <c r="H273" s="253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</row>
    <row r="274" spans="2:41" x14ac:dyDescent="0.25">
      <c r="B274" s="251"/>
      <c r="C274" s="251"/>
      <c r="D274" s="251"/>
      <c r="E274" s="251"/>
      <c r="F274" s="251"/>
      <c r="G274" s="252"/>
      <c r="H274" s="253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</row>
    <row r="275" spans="2:41" x14ac:dyDescent="0.25">
      <c r="B275" s="251"/>
      <c r="C275" s="251"/>
      <c r="D275" s="251"/>
      <c r="E275" s="251"/>
      <c r="F275" s="251"/>
      <c r="G275" s="252"/>
      <c r="H275" s="253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</row>
    <row r="276" spans="2:41" x14ac:dyDescent="0.25">
      <c r="B276" s="251"/>
      <c r="C276" s="251"/>
      <c r="D276" s="251"/>
      <c r="E276" s="251"/>
      <c r="F276" s="251"/>
      <c r="G276" s="252"/>
      <c r="H276" s="253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</row>
    <row r="277" spans="2:41" x14ac:dyDescent="0.25">
      <c r="B277" s="251"/>
      <c r="C277" s="251"/>
      <c r="D277" s="251"/>
      <c r="E277" s="251"/>
      <c r="F277" s="251"/>
      <c r="G277" s="252"/>
      <c r="H277" s="253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</row>
    <row r="278" spans="2:41" x14ac:dyDescent="0.25">
      <c r="B278" s="251"/>
      <c r="C278" s="251"/>
      <c r="D278" s="251"/>
      <c r="E278" s="251"/>
      <c r="F278" s="251"/>
      <c r="G278" s="252"/>
      <c r="H278" s="253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</row>
    <row r="279" spans="2:41" x14ac:dyDescent="0.25">
      <c r="B279" s="251"/>
      <c r="C279" s="251"/>
      <c r="D279" s="251"/>
      <c r="E279" s="251"/>
      <c r="F279" s="251"/>
      <c r="G279" s="252"/>
      <c r="H279" s="253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</row>
    <row r="280" spans="2:41" x14ac:dyDescent="0.25">
      <c r="B280" s="251"/>
      <c r="C280" s="251"/>
      <c r="D280" s="251"/>
      <c r="E280" s="251"/>
      <c r="F280" s="251"/>
      <c r="G280" s="252"/>
      <c r="H280" s="253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</row>
    <row r="281" spans="2:41" x14ac:dyDescent="0.25">
      <c r="B281" s="251"/>
      <c r="C281" s="251"/>
      <c r="D281" s="251"/>
      <c r="E281" s="251"/>
      <c r="F281" s="251"/>
      <c r="G281" s="252"/>
      <c r="H281" s="253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</row>
    <row r="282" spans="2:41" x14ac:dyDescent="0.25">
      <c r="B282" s="251"/>
      <c r="C282" s="251"/>
      <c r="D282" s="251"/>
      <c r="E282" s="251"/>
      <c r="F282" s="251"/>
      <c r="G282" s="252"/>
      <c r="H282" s="253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</row>
    <row r="283" spans="2:41" x14ac:dyDescent="0.25">
      <c r="B283" s="251"/>
      <c r="C283" s="251"/>
      <c r="D283" s="251"/>
      <c r="E283" s="251"/>
      <c r="F283" s="251"/>
      <c r="G283" s="252"/>
      <c r="H283" s="253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</row>
    <row r="284" spans="2:41" x14ac:dyDescent="0.25">
      <c r="B284" s="251"/>
      <c r="C284" s="251"/>
      <c r="D284" s="251"/>
      <c r="E284" s="251"/>
      <c r="F284" s="251"/>
      <c r="G284" s="252"/>
      <c r="H284" s="253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</row>
    <row r="285" spans="2:41" x14ac:dyDescent="0.25">
      <c r="B285" s="251"/>
      <c r="C285" s="251"/>
      <c r="D285" s="251"/>
      <c r="E285" s="251"/>
      <c r="F285" s="251"/>
      <c r="G285" s="252"/>
      <c r="H285" s="253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</row>
    <row r="286" spans="2:41" x14ac:dyDescent="0.25">
      <c r="B286" s="251"/>
      <c r="C286" s="251"/>
      <c r="D286" s="251"/>
      <c r="E286" s="251"/>
      <c r="F286" s="251"/>
      <c r="G286" s="252"/>
      <c r="H286" s="253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</row>
    <row r="287" spans="2:41" x14ac:dyDescent="0.25">
      <c r="B287" s="251"/>
      <c r="C287" s="251"/>
      <c r="D287" s="251"/>
      <c r="E287" s="251"/>
      <c r="F287" s="251"/>
      <c r="G287" s="252"/>
      <c r="H287" s="253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</row>
    <row r="288" spans="2:41" x14ac:dyDescent="0.25">
      <c r="B288" s="251"/>
      <c r="C288" s="251"/>
      <c r="D288" s="251"/>
      <c r="E288" s="251"/>
      <c r="F288" s="251"/>
      <c r="G288" s="252"/>
      <c r="H288" s="253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</row>
    <row r="289" spans="2:41" x14ac:dyDescent="0.25">
      <c r="B289" s="251"/>
      <c r="C289" s="251"/>
      <c r="D289" s="251"/>
      <c r="E289" s="251"/>
      <c r="F289" s="251"/>
      <c r="G289" s="252"/>
      <c r="H289" s="253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</row>
    <row r="290" spans="2:41" x14ac:dyDescent="0.25">
      <c r="B290" s="251"/>
      <c r="C290" s="251"/>
      <c r="D290" s="251"/>
      <c r="E290" s="251"/>
      <c r="F290" s="251"/>
      <c r="G290" s="252"/>
      <c r="H290" s="253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</row>
    <row r="291" spans="2:41" x14ac:dyDescent="0.25">
      <c r="B291" s="251"/>
      <c r="C291" s="251"/>
      <c r="D291" s="251"/>
      <c r="E291" s="251"/>
      <c r="F291" s="251"/>
      <c r="G291" s="252"/>
      <c r="H291" s="253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</row>
    <row r="292" spans="2:41" x14ac:dyDescent="0.25">
      <c r="B292" s="251"/>
      <c r="C292" s="251"/>
      <c r="D292" s="251"/>
      <c r="E292" s="251"/>
      <c r="F292" s="251"/>
      <c r="G292" s="252"/>
      <c r="H292" s="253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</row>
    <row r="293" spans="2:41" x14ac:dyDescent="0.25">
      <c r="B293" s="251"/>
      <c r="C293" s="251"/>
      <c r="D293" s="251"/>
      <c r="E293" s="251"/>
      <c r="F293" s="251"/>
      <c r="G293" s="252"/>
      <c r="H293" s="253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</row>
    <row r="294" spans="2:41" x14ac:dyDescent="0.25">
      <c r="B294" s="251"/>
      <c r="C294" s="251"/>
      <c r="D294" s="251"/>
      <c r="E294" s="251"/>
      <c r="F294" s="251"/>
      <c r="G294" s="252"/>
      <c r="H294" s="253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</row>
    <row r="295" spans="2:41" x14ac:dyDescent="0.25">
      <c r="B295" s="251"/>
      <c r="C295" s="251"/>
      <c r="D295" s="251"/>
      <c r="E295" s="251"/>
      <c r="F295" s="251"/>
      <c r="G295" s="252"/>
      <c r="H295" s="253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</row>
    <row r="296" spans="2:41" x14ac:dyDescent="0.25">
      <c r="B296" s="251"/>
      <c r="C296" s="251"/>
      <c r="D296" s="251"/>
      <c r="E296" s="251"/>
      <c r="F296" s="251"/>
      <c r="G296" s="252"/>
      <c r="H296" s="253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</row>
    <row r="297" spans="2:41" x14ac:dyDescent="0.25">
      <c r="B297" s="251"/>
      <c r="C297" s="251"/>
      <c r="D297" s="251"/>
      <c r="E297" s="251"/>
      <c r="F297" s="251"/>
      <c r="G297" s="252"/>
      <c r="H297" s="253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</row>
    <row r="298" spans="2:41" x14ac:dyDescent="0.25">
      <c r="B298" s="251"/>
      <c r="C298" s="251"/>
      <c r="D298" s="251"/>
      <c r="E298" s="251"/>
      <c r="F298" s="251"/>
      <c r="G298" s="252"/>
      <c r="H298" s="253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</row>
    <row r="299" spans="2:41" x14ac:dyDescent="0.25">
      <c r="B299" s="251"/>
      <c r="C299" s="251"/>
      <c r="D299" s="251"/>
      <c r="E299" s="251"/>
      <c r="F299" s="251"/>
      <c r="G299" s="252"/>
      <c r="H299" s="253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</row>
    <row r="300" spans="2:41" x14ac:dyDescent="0.25">
      <c r="B300" s="251"/>
      <c r="C300" s="251"/>
      <c r="D300" s="251"/>
      <c r="E300" s="251"/>
      <c r="F300" s="251"/>
      <c r="G300" s="252"/>
      <c r="H300" s="253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</row>
    <row r="301" spans="2:41" x14ac:dyDescent="0.25">
      <c r="B301" s="251"/>
      <c r="C301" s="251"/>
      <c r="D301" s="251"/>
      <c r="E301" s="251"/>
      <c r="F301" s="251"/>
      <c r="G301" s="252"/>
      <c r="H301" s="253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</row>
    <row r="302" spans="2:41" x14ac:dyDescent="0.25">
      <c r="B302" s="251"/>
      <c r="C302" s="251"/>
      <c r="D302" s="251"/>
      <c r="E302" s="251"/>
      <c r="F302" s="251"/>
      <c r="G302" s="252"/>
      <c r="H302" s="253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</row>
    <row r="303" spans="2:41" x14ac:dyDescent="0.25">
      <c r="B303" s="251"/>
      <c r="C303" s="251"/>
      <c r="D303" s="251"/>
      <c r="E303" s="251"/>
      <c r="F303" s="251"/>
      <c r="G303" s="252"/>
      <c r="H303" s="253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</row>
    <row r="304" spans="2:41" x14ac:dyDescent="0.25">
      <c r="B304" s="251"/>
      <c r="C304" s="251"/>
      <c r="D304" s="251"/>
      <c r="E304" s="251"/>
      <c r="F304" s="251"/>
      <c r="G304" s="252"/>
      <c r="H304" s="253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</row>
    <row r="305" spans="2:41" x14ac:dyDescent="0.25">
      <c r="B305" s="251"/>
      <c r="C305" s="251"/>
      <c r="D305" s="251"/>
      <c r="E305" s="251"/>
      <c r="F305" s="251"/>
      <c r="G305" s="252"/>
      <c r="H305" s="253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</row>
    <row r="306" spans="2:41" x14ac:dyDescent="0.25">
      <c r="B306" s="251"/>
      <c r="C306" s="251"/>
      <c r="D306" s="251"/>
      <c r="E306" s="251"/>
      <c r="F306" s="251"/>
      <c r="G306" s="252"/>
      <c r="H306" s="253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</row>
    <row r="307" spans="2:41" x14ac:dyDescent="0.25">
      <c r="B307" s="251"/>
      <c r="C307" s="251"/>
      <c r="D307" s="251"/>
      <c r="E307" s="251"/>
      <c r="F307" s="251"/>
      <c r="G307" s="252"/>
      <c r="H307" s="253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</row>
    <row r="308" spans="2:41" x14ac:dyDescent="0.25">
      <c r="B308" s="251"/>
      <c r="C308" s="251"/>
      <c r="D308" s="251"/>
      <c r="E308" s="251"/>
      <c r="F308" s="251"/>
      <c r="G308" s="252"/>
      <c r="H308" s="253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</row>
    <row r="309" spans="2:41" x14ac:dyDescent="0.25">
      <c r="B309" s="251"/>
      <c r="C309" s="251"/>
      <c r="D309" s="251"/>
      <c r="E309" s="251"/>
      <c r="F309" s="251"/>
      <c r="G309" s="252"/>
      <c r="H309" s="253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</row>
    <row r="310" spans="2:41" x14ac:dyDescent="0.25">
      <c r="B310" s="251"/>
      <c r="C310" s="251"/>
      <c r="D310" s="251"/>
      <c r="E310" s="251"/>
      <c r="F310" s="251"/>
      <c r="G310" s="252"/>
      <c r="H310" s="253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</row>
    <row r="311" spans="2:41" x14ac:dyDescent="0.25">
      <c r="B311" s="251"/>
      <c r="C311" s="251"/>
      <c r="D311" s="251"/>
      <c r="E311" s="251"/>
      <c r="F311" s="251"/>
      <c r="G311" s="252"/>
      <c r="H311" s="253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</row>
    <row r="312" spans="2:41" x14ac:dyDescent="0.25">
      <c r="B312" s="251"/>
      <c r="C312" s="251"/>
      <c r="D312" s="251"/>
      <c r="E312" s="251"/>
      <c r="F312" s="251"/>
      <c r="G312" s="252"/>
      <c r="H312" s="253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</row>
    <row r="313" spans="2:41" x14ac:dyDescent="0.25">
      <c r="B313" s="251"/>
      <c r="C313" s="251"/>
      <c r="D313" s="251"/>
      <c r="E313" s="251"/>
      <c r="F313" s="251"/>
      <c r="G313" s="252"/>
      <c r="H313" s="253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</row>
    <row r="314" spans="2:41" x14ac:dyDescent="0.25">
      <c r="B314" s="251"/>
      <c r="C314" s="251"/>
      <c r="D314" s="251"/>
      <c r="E314" s="251"/>
      <c r="F314" s="251"/>
      <c r="G314" s="252"/>
      <c r="H314" s="253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</row>
    <row r="315" spans="2:41" x14ac:dyDescent="0.25">
      <c r="B315" s="251"/>
      <c r="C315" s="251"/>
      <c r="D315" s="251"/>
      <c r="E315" s="251"/>
      <c r="F315" s="251"/>
      <c r="G315" s="252"/>
      <c r="H315" s="253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</row>
    <row r="316" spans="2:41" x14ac:dyDescent="0.25">
      <c r="B316" s="251"/>
      <c r="C316" s="251"/>
      <c r="D316" s="251"/>
      <c r="E316" s="251"/>
      <c r="F316" s="251"/>
      <c r="G316" s="252"/>
      <c r="H316" s="253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</row>
    <row r="317" spans="2:41" x14ac:dyDescent="0.25">
      <c r="B317" s="251"/>
      <c r="C317" s="251"/>
      <c r="D317" s="251"/>
      <c r="E317" s="251"/>
      <c r="F317" s="251"/>
      <c r="G317" s="252"/>
      <c r="H317" s="253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</row>
    <row r="318" spans="2:41" x14ac:dyDescent="0.25">
      <c r="B318" s="251"/>
      <c r="C318" s="251"/>
      <c r="D318" s="251"/>
      <c r="E318" s="251"/>
      <c r="F318" s="251"/>
      <c r="G318" s="252"/>
      <c r="H318" s="253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</row>
    <row r="319" spans="2:41" x14ac:dyDescent="0.25">
      <c r="B319" s="251"/>
      <c r="C319" s="251"/>
      <c r="D319" s="251"/>
      <c r="E319" s="251"/>
      <c r="F319" s="251"/>
      <c r="G319" s="252"/>
      <c r="H319" s="253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</row>
    <row r="320" spans="2:41" x14ac:dyDescent="0.25">
      <c r="B320" s="251"/>
      <c r="C320" s="251"/>
      <c r="D320" s="251"/>
      <c r="E320" s="251"/>
      <c r="F320" s="251"/>
      <c r="G320" s="252"/>
      <c r="H320" s="253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</row>
    <row r="321" spans="2:41" x14ac:dyDescent="0.25">
      <c r="B321" s="251"/>
      <c r="C321" s="251"/>
      <c r="D321" s="251"/>
      <c r="E321" s="251"/>
      <c r="F321" s="251"/>
      <c r="G321" s="252"/>
      <c r="H321" s="253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</row>
    <row r="322" spans="2:41" x14ac:dyDescent="0.25">
      <c r="B322" s="251"/>
      <c r="C322" s="251"/>
      <c r="D322" s="251"/>
      <c r="E322" s="251"/>
      <c r="F322" s="251"/>
      <c r="G322" s="252"/>
      <c r="H322" s="253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</row>
    <row r="323" spans="2:41" x14ac:dyDescent="0.25">
      <c r="B323" s="251"/>
      <c r="C323" s="251"/>
      <c r="D323" s="251"/>
      <c r="E323" s="251"/>
      <c r="F323" s="251"/>
      <c r="G323" s="252"/>
      <c r="H323" s="253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</row>
    <row r="324" spans="2:41" x14ac:dyDescent="0.25">
      <c r="B324" s="251"/>
      <c r="C324" s="251"/>
      <c r="D324" s="251"/>
      <c r="E324" s="251"/>
      <c r="F324" s="251"/>
      <c r="G324" s="252"/>
      <c r="H324" s="253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</row>
    <row r="325" spans="2:41" x14ac:dyDescent="0.25">
      <c r="B325" s="251"/>
      <c r="C325" s="251"/>
      <c r="D325" s="251"/>
      <c r="E325" s="251"/>
      <c r="F325" s="251"/>
      <c r="G325" s="252"/>
      <c r="H325" s="253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</row>
    <row r="326" spans="2:41" x14ac:dyDescent="0.25">
      <c r="B326" s="251"/>
      <c r="C326" s="251"/>
      <c r="D326" s="251"/>
      <c r="E326" s="251"/>
      <c r="F326" s="251"/>
      <c r="G326" s="252"/>
      <c r="H326" s="253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</row>
    <row r="327" spans="2:41" x14ac:dyDescent="0.25">
      <c r="B327" s="251"/>
      <c r="C327" s="251"/>
      <c r="D327" s="251"/>
      <c r="E327" s="251"/>
      <c r="F327" s="251"/>
      <c r="G327" s="252"/>
      <c r="H327" s="253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</row>
    <row r="328" spans="2:41" x14ac:dyDescent="0.25">
      <c r="B328" s="251"/>
      <c r="C328" s="251"/>
      <c r="D328" s="251"/>
      <c r="E328" s="251"/>
      <c r="F328" s="251"/>
      <c r="G328" s="252"/>
      <c r="H328" s="253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</row>
    <row r="329" spans="2:41" x14ac:dyDescent="0.25">
      <c r="B329" s="251"/>
      <c r="C329" s="251"/>
      <c r="D329" s="251"/>
      <c r="E329" s="251"/>
      <c r="F329" s="251"/>
      <c r="G329" s="252"/>
      <c r="H329" s="253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</row>
    <row r="330" spans="2:41" x14ac:dyDescent="0.25">
      <c r="B330" s="251"/>
      <c r="C330" s="251"/>
      <c r="D330" s="251"/>
      <c r="E330" s="251"/>
      <c r="F330" s="251"/>
      <c r="G330" s="252"/>
      <c r="H330" s="253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</row>
    <row r="331" spans="2:41" x14ac:dyDescent="0.25">
      <c r="B331" s="251"/>
      <c r="C331" s="251"/>
      <c r="D331" s="251"/>
      <c r="E331" s="251"/>
      <c r="F331" s="251"/>
      <c r="G331" s="252"/>
      <c r="H331" s="253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</row>
    <row r="332" spans="2:41" x14ac:dyDescent="0.25">
      <c r="B332" s="251"/>
      <c r="C332" s="251"/>
      <c r="D332" s="251"/>
      <c r="E332" s="251"/>
      <c r="F332" s="251"/>
      <c r="G332" s="252"/>
      <c r="H332" s="253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</row>
    <row r="333" spans="2:41" x14ac:dyDescent="0.25">
      <c r="B333" s="251"/>
      <c r="C333" s="251"/>
      <c r="D333" s="251"/>
      <c r="E333" s="251"/>
      <c r="F333" s="251"/>
      <c r="G333" s="252"/>
      <c r="H333" s="253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</row>
    <row r="334" spans="2:41" x14ac:dyDescent="0.25">
      <c r="B334" s="251"/>
      <c r="C334" s="251"/>
      <c r="D334" s="251"/>
      <c r="E334" s="251"/>
      <c r="F334" s="251"/>
      <c r="G334" s="252"/>
      <c r="H334" s="253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</row>
    <row r="335" spans="2:41" x14ac:dyDescent="0.25">
      <c r="B335" s="251"/>
      <c r="C335" s="251"/>
      <c r="D335" s="251"/>
      <c r="E335" s="251"/>
      <c r="F335" s="251"/>
      <c r="G335" s="252"/>
      <c r="H335" s="253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</row>
    <row r="336" spans="2:41" x14ac:dyDescent="0.25">
      <c r="B336" s="251"/>
      <c r="C336" s="251"/>
      <c r="D336" s="251"/>
      <c r="E336" s="251"/>
      <c r="F336" s="251"/>
      <c r="G336" s="252"/>
      <c r="H336" s="253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</row>
    <row r="337" spans="2:41" x14ac:dyDescent="0.25">
      <c r="B337" s="251"/>
      <c r="C337" s="251"/>
      <c r="D337" s="251"/>
      <c r="E337" s="251"/>
      <c r="F337" s="251"/>
      <c r="G337" s="252"/>
      <c r="H337" s="253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</row>
    <row r="338" spans="2:41" x14ac:dyDescent="0.25">
      <c r="B338" s="251"/>
      <c r="C338" s="251"/>
      <c r="D338" s="251"/>
      <c r="E338" s="251"/>
      <c r="F338" s="251"/>
      <c r="G338" s="252"/>
      <c r="H338" s="253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</row>
    <row r="339" spans="2:41" x14ac:dyDescent="0.25">
      <c r="B339" s="251"/>
      <c r="C339" s="251"/>
      <c r="D339" s="251"/>
      <c r="E339" s="251"/>
      <c r="F339" s="251"/>
      <c r="G339" s="252"/>
      <c r="H339" s="253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</row>
    <row r="340" spans="2:41" x14ac:dyDescent="0.25">
      <c r="B340" s="251"/>
      <c r="C340" s="251"/>
      <c r="D340" s="251"/>
      <c r="E340" s="251"/>
      <c r="F340" s="251"/>
      <c r="G340" s="252"/>
      <c r="H340" s="253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</row>
    <row r="341" spans="2:41" x14ac:dyDescent="0.25">
      <c r="B341" s="251"/>
      <c r="C341" s="251"/>
      <c r="D341" s="251"/>
      <c r="E341" s="251"/>
      <c r="F341" s="251"/>
      <c r="G341" s="252"/>
      <c r="H341" s="253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</row>
    <row r="342" spans="2:41" x14ac:dyDescent="0.25">
      <c r="B342" s="251"/>
      <c r="C342" s="251"/>
      <c r="D342" s="251"/>
      <c r="E342" s="251"/>
      <c r="F342" s="251"/>
      <c r="G342" s="252"/>
      <c r="H342" s="253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</row>
    <row r="343" spans="2:41" x14ac:dyDescent="0.25">
      <c r="B343" s="251"/>
      <c r="C343" s="251"/>
      <c r="D343" s="251"/>
      <c r="E343" s="251"/>
      <c r="F343" s="251"/>
      <c r="G343" s="252"/>
      <c r="H343" s="253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</row>
    <row r="344" spans="2:41" x14ac:dyDescent="0.25">
      <c r="B344" s="251"/>
      <c r="C344" s="251"/>
      <c r="D344" s="251"/>
      <c r="E344" s="251"/>
      <c r="F344" s="251"/>
      <c r="G344" s="252"/>
      <c r="H344" s="253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</row>
    <row r="345" spans="2:41" x14ac:dyDescent="0.25">
      <c r="B345" s="251"/>
      <c r="C345" s="251"/>
      <c r="D345" s="251"/>
      <c r="E345" s="251"/>
      <c r="F345" s="251"/>
      <c r="G345" s="252"/>
      <c r="H345" s="253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</row>
    <row r="346" spans="2:41" x14ac:dyDescent="0.25">
      <c r="B346" s="251"/>
      <c r="C346" s="251"/>
      <c r="D346" s="251"/>
      <c r="E346" s="251"/>
      <c r="F346" s="251"/>
      <c r="G346" s="252"/>
      <c r="H346" s="253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</row>
    <row r="347" spans="2:41" x14ac:dyDescent="0.25">
      <c r="B347" s="251"/>
      <c r="C347" s="251"/>
      <c r="D347" s="251"/>
      <c r="E347" s="251"/>
      <c r="F347" s="251"/>
      <c r="G347" s="252"/>
      <c r="H347" s="253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</row>
    <row r="348" spans="2:41" x14ac:dyDescent="0.25">
      <c r="B348" s="251"/>
      <c r="C348" s="251"/>
      <c r="D348" s="251"/>
      <c r="E348" s="251"/>
      <c r="F348" s="251"/>
      <c r="G348" s="252"/>
      <c r="H348" s="253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</row>
    <row r="349" spans="2:41" x14ac:dyDescent="0.25">
      <c r="B349" s="251"/>
      <c r="C349" s="251"/>
      <c r="D349" s="251"/>
      <c r="E349" s="251"/>
      <c r="F349" s="251"/>
      <c r="G349" s="252"/>
      <c r="H349" s="253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</row>
    <row r="350" spans="2:41" x14ac:dyDescent="0.25">
      <c r="B350" s="251"/>
      <c r="C350" s="251"/>
      <c r="D350" s="251"/>
      <c r="E350" s="251"/>
      <c r="F350" s="251"/>
      <c r="G350" s="252"/>
      <c r="H350" s="253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</row>
    <row r="351" spans="2:41" x14ac:dyDescent="0.25">
      <c r="B351" s="251"/>
      <c r="C351" s="251"/>
      <c r="D351" s="251"/>
      <c r="E351" s="251"/>
      <c r="F351" s="251"/>
      <c r="G351" s="252"/>
      <c r="H351" s="253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</row>
    <row r="352" spans="2:41" x14ac:dyDescent="0.25">
      <c r="B352" s="251"/>
      <c r="C352" s="251"/>
      <c r="D352" s="251"/>
      <c r="E352" s="251"/>
      <c r="F352" s="251"/>
      <c r="G352" s="252"/>
      <c r="H352" s="253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</row>
    <row r="353" spans="2:41" x14ac:dyDescent="0.25">
      <c r="B353" s="251"/>
      <c r="C353" s="251"/>
      <c r="D353" s="251"/>
      <c r="E353" s="251"/>
      <c r="F353" s="251"/>
      <c r="G353" s="252"/>
      <c r="H353" s="253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</row>
    <row r="354" spans="2:41" x14ac:dyDescent="0.25">
      <c r="B354" s="251"/>
      <c r="C354" s="251"/>
      <c r="D354" s="251"/>
      <c r="E354" s="251"/>
      <c r="F354" s="251"/>
      <c r="G354" s="252"/>
      <c r="H354" s="253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</row>
    <row r="355" spans="2:41" x14ac:dyDescent="0.25">
      <c r="B355" s="251"/>
      <c r="C355" s="251"/>
      <c r="D355" s="251"/>
      <c r="E355" s="251"/>
      <c r="F355" s="251"/>
      <c r="G355" s="252"/>
      <c r="H355" s="253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</row>
    <row r="356" spans="2:41" x14ac:dyDescent="0.25">
      <c r="B356" s="251"/>
      <c r="C356" s="251"/>
      <c r="D356" s="251"/>
      <c r="E356" s="251"/>
      <c r="F356" s="251"/>
      <c r="G356" s="252"/>
      <c r="H356" s="253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</row>
    <row r="357" spans="2:41" x14ac:dyDescent="0.25">
      <c r="B357" s="251"/>
      <c r="C357" s="251"/>
      <c r="D357" s="251"/>
      <c r="E357" s="251"/>
      <c r="F357" s="251"/>
      <c r="G357" s="252"/>
      <c r="H357" s="253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</row>
    <row r="358" spans="2:41" x14ac:dyDescent="0.25">
      <c r="B358" s="251"/>
      <c r="C358" s="251"/>
      <c r="D358" s="251"/>
      <c r="E358" s="251"/>
      <c r="F358" s="251"/>
      <c r="G358" s="252"/>
      <c r="H358" s="253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</row>
    <row r="359" spans="2:41" x14ac:dyDescent="0.25">
      <c r="B359" s="251"/>
      <c r="C359" s="251"/>
      <c r="D359" s="251"/>
      <c r="E359" s="251"/>
      <c r="F359" s="251"/>
      <c r="G359" s="252"/>
      <c r="H359" s="253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</row>
    <row r="360" spans="2:41" x14ac:dyDescent="0.25">
      <c r="B360" s="251"/>
      <c r="C360" s="251"/>
      <c r="D360" s="251"/>
      <c r="E360" s="251"/>
      <c r="F360" s="251"/>
      <c r="G360" s="252"/>
      <c r="H360" s="253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</row>
    <row r="361" spans="2:41" x14ac:dyDescent="0.25">
      <c r="B361" s="251"/>
      <c r="C361" s="251"/>
      <c r="D361" s="251"/>
      <c r="E361" s="251"/>
      <c r="F361" s="251"/>
      <c r="G361" s="252"/>
      <c r="H361" s="253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</row>
    <row r="362" spans="2:41" x14ac:dyDescent="0.25">
      <c r="B362" s="251"/>
      <c r="C362" s="251"/>
      <c r="D362" s="251"/>
      <c r="E362" s="251"/>
      <c r="F362" s="251"/>
      <c r="G362" s="252"/>
      <c r="H362" s="253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</row>
    <row r="363" spans="2:41" x14ac:dyDescent="0.25">
      <c r="B363" s="251"/>
      <c r="C363" s="251"/>
      <c r="D363" s="251"/>
      <c r="E363" s="251"/>
      <c r="F363" s="251"/>
      <c r="G363" s="252"/>
      <c r="H363" s="253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</row>
    <row r="364" spans="2:41" x14ac:dyDescent="0.25">
      <c r="B364" s="251"/>
      <c r="C364" s="251"/>
      <c r="D364" s="251"/>
      <c r="E364" s="251"/>
      <c r="F364" s="251"/>
      <c r="G364" s="252"/>
      <c r="H364" s="253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</row>
    <row r="365" spans="2:41" x14ac:dyDescent="0.25">
      <c r="B365" s="251"/>
      <c r="C365" s="251"/>
      <c r="D365" s="251"/>
      <c r="E365" s="251"/>
      <c r="F365" s="251"/>
      <c r="G365" s="252"/>
      <c r="H365" s="253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</row>
    <row r="366" spans="2:41" x14ac:dyDescent="0.25">
      <c r="B366" s="251"/>
      <c r="C366" s="251"/>
      <c r="D366" s="251"/>
      <c r="E366" s="251"/>
      <c r="F366" s="251"/>
      <c r="G366" s="252"/>
      <c r="H366" s="253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</row>
    <row r="367" spans="2:41" x14ac:dyDescent="0.25">
      <c r="B367" s="251"/>
      <c r="C367" s="251"/>
      <c r="D367" s="251"/>
      <c r="E367" s="251"/>
      <c r="F367" s="251"/>
      <c r="G367" s="252"/>
      <c r="H367" s="253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</row>
    <row r="368" spans="2:41" x14ac:dyDescent="0.25">
      <c r="B368" s="251"/>
      <c r="C368" s="251"/>
      <c r="D368" s="251"/>
      <c r="E368" s="251"/>
      <c r="F368" s="251"/>
      <c r="G368" s="252"/>
      <c r="H368" s="253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</row>
    <row r="369" spans="2:41" x14ac:dyDescent="0.25">
      <c r="B369" s="251"/>
      <c r="C369" s="251"/>
      <c r="D369" s="251"/>
      <c r="E369" s="251"/>
      <c r="F369" s="251"/>
      <c r="G369" s="252"/>
      <c r="H369" s="253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</row>
    <row r="370" spans="2:41" x14ac:dyDescent="0.25">
      <c r="B370" s="251"/>
      <c r="C370" s="251"/>
      <c r="D370" s="251"/>
      <c r="E370" s="251"/>
      <c r="F370" s="251"/>
      <c r="G370" s="252"/>
      <c r="H370" s="253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</row>
    <row r="371" spans="2:41" x14ac:dyDescent="0.25">
      <c r="B371" s="251"/>
      <c r="C371" s="251"/>
      <c r="D371" s="251"/>
      <c r="E371" s="251"/>
      <c r="F371" s="251"/>
      <c r="G371" s="252"/>
      <c r="H371" s="253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</row>
    <row r="372" spans="2:41" x14ac:dyDescent="0.25">
      <c r="B372" s="251"/>
      <c r="C372" s="251"/>
      <c r="D372" s="251"/>
      <c r="E372" s="251"/>
      <c r="F372" s="251"/>
      <c r="G372" s="252"/>
      <c r="H372" s="253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</row>
    <row r="373" spans="2:41" x14ac:dyDescent="0.25">
      <c r="B373" s="251"/>
      <c r="C373" s="251"/>
      <c r="D373" s="251"/>
      <c r="E373" s="251"/>
      <c r="F373" s="251"/>
      <c r="G373" s="252"/>
      <c r="H373" s="253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</row>
    <row r="374" spans="2:41" x14ac:dyDescent="0.25">
      <c r="B374" s="251"/>
      <c r="C374" s="251"/>
      <c r="D374" s="251"/>
      <c r="E374" s="251"/>
      <c r="F374" s="251"/>
      <c r="G374" s="252"/>
      <c r="H374" s="253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</row>
    <row r="375" spans="2:41" x14ac:dyDescent="0.25">
      <c r="B375" s="251"/>
      <c r="C375" s="251"/>
      <c r="D375" s="251"/>
      <c r="E375" s="251"/>
      <c r="F375" s="251"/>
      <c r="G375" s="252"/>
      <c r="H375" s="253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</row>
    <row r="376" spans="2:41" x14ac:dyDescent="0.25">
      <c r="B376" s="251"/>
      <c r="C376" s="251"/>
      <c r="D376" s="251"/>
      <c r="E376" s="251"/>
      <c r="F376" s="251"/>
      <c r="G376" s="252"/>
      <c r="H376" s="253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</row>
    <row r="377" spans="2:41" x14ac:dyDescent="0.25">
      <c r="B377" s="251"/>
      <c r="C377" s="251"/>
      <c r="D377" s="251"/>
      <c r="E377" s="251"/>
      <c r="F377" s="251"/>
      <c r="G377" s="252"/>
      <c r="H377" s="253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</row>
    <row r="378" spans="2:41" x14ac:dyDescent="0.25">
      <c r="B378" s="251"/>
      <c r="C378" s="251"/>
      <c r="D378" s="251"/>
      <c r="E378" s="251"/>
      <c r="F378" s="251"/>
      <c r="G378" s="252"/>
      <c r="H378" s="253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</row>
    <row r="379" spans="2:41" x14ac:dyDescent="0.25">
      <c r="B379" s="251"/>
      <c r="C379" s="251"/>
      <c r="D379" s="251"/>
      <c r="E379" s="251"/>
      <c r="F379" s="251"/>
      <c r="G379" s="252"/>
      <c r="H379" s="253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</row>
    <row r="380" spans="2:41" x14ac:dyDescent="0.25">
      <c r="B380" s="251"/>
      <c r="C380" s="251"/>
      <c r="D380" s="251"/>
      <c r="E380" s="251"/>
      <c r="F380" s="251"/>
      <c r="G380" s="252"/>
      <c r="H380" s="253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</row>
    <row r="381" spans="2:41" x14ac:dyDescent="0.25">
      <c r="B381" s="251"/>
      <c r="C381" s="251"/>
      <c r="D381" s="251"/>
      <c r="E381" s="251"/>
      <c r="F381" s="251"/>
      <c r="G381" s="252"/>
      <c r="H381" s="253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</row>
    <row r="382" spans="2:41" x14ac:dyDescent="0.25">
      <c r="B382" s="251"/>
      <c r="C382" s="251"/>
      <c r="D382" s="251"/>
      <c r="E382" s="251"/>
      <c r="F382" s="251"/>
      <c r="G382" s="252"/>
      <c r="H382" s="253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</row>
    <row r="383" spans="2:41" x14ac:dyDescent="0.25">
      <c r="B383" s="251"/>
      <c r="C383" s="251"/>
      <c r="D383" s="251"/>
      <c r="E383" s="251"/>
      <c r="F383" s="251"/>
      <c r="G383" s="252"/>
      <c r="H383" s="253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</row>
    <row r="384" spans="2:41" x14ac:dyDescent="0.25">
      <c r="B384" s="251"/>
      <c r="C384" s="251"/>
      <c r="D384" s="251"/>
      <c r="E384" s="251"/>
      <c r="F384" s="251"/>
      <c r="G384" s="252"/>
      <c r="H384" s="253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</row>
    <row r="385" spans="2:41" x14ac:dyDescent="0.25">
      <c r="B385" s="251"/>
      <c r="C385" s="251"/>
      <c r="D385" s="251"/>
      <c r="E385" s="251"/>
      <c r="F385" s="251"/>
      <c r="G385" s="252"/>
      <c r="H385" s="253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</row>
    <row r="386" spans="2:41" x14ac:dyDescent="0.25">
      <c r="B386" s="251"/>
      <c r="C386" s="251"/>
      <c r="D386" s="251"/>
      <c r="E386" s="251"/>
      <c r="F386" s="251"/>
      <c r="G386" s="252"/>
      <c r="H386" s="253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</row>
    <row r="387" spans="2:41" x14ac:dyDescent="0.25">
      <c r="B387" s="251"/>
      <c r="C387" s="251"/>
      <c r="D387" s="251"/>
      <c r="E387" s="251"/>
      <c r="F387" s="251"/>
      <c r="G387" s="252"/>
      <c r="H387" s="253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</row>
    <row r="388" spans="2:41" x14ac:dyDescent="0.25">
      <c r="B388" s="251"/>
      <c r="C388" s="251"/>
      <c r="D388" s="251"/>
      <c r="E388" s="251"/>
      <c r="F388" s="251"/>
      <c r="G388" s="252"/>
      <c r="H388" s="253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</row>
    <row r="389" spans="2:41" x14ac:dyDescent="0.25">
      <c r="B389" s="251"/>
      <c r="C389" s="251"/>
      <c r="D389" s="251"/>
      <c r="E389" s="251"/>
      <c r="F389" s="251"/>
      <c r="G389" s="252"/>
      <c r="H389" s="253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</row>
    <row r="390" spans="2:41" x14ac:dyDescent="0.25">
      <c r="B390" s="251"/>
      <c r="C390" s="251"/>
      <c r="D390" s="251"/>
      <c r="E390" s="251"/>
      <c r="F390" s="251"/>
      <c r="G390" s="252"/>
      <c r="H390" s="253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</row>
    <row r="391" spans="2:41" x14ac:dyDescent="0.25">
      <c r="B391" s="251"/>
      <c r="C391" s="251"/>
      <c r="D391" s="251"/>
      <c r="E391" s="251"/>
      <c r="F391" s="251"/>
      <c r="G391" s="252"/>
      <c r="H391" s="253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</row>
    <row r="392" spans="2:41" x14ac:dyDescent="0.25">
      <c r="B392" s="251"/>
      <c r="C392" s="251"/>
      <c r="D392" s="251"/>
      <c r="E392" s="251"/>
      <c r="F392" s="251"/>
      <c r="G392" s="252"/>
      <c r="H392" s="253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</row>
    <row r="393" spans="2:41" x14ac:dyDescent="0.25">
      <c r="B393" s="251"/>
      <c r="C393" s="251"/>
      <c r="D393" s="251"/>
      <c r="E393" s="251"/>
      <c r="F393" s="251"/>
      <c r="G393" s="252"/>
      <c r="H393" s="253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</row>
    <row r="394" spans="2:41" x14ac:dyDescent="0.25">
      <c r="B394" s="251"/>
      <c r="C394" s="251"/>
      <c r="D394" s="251"/>
      <c r="E394" s="251"/>
      <c r="F394" s="251"/>
      <c r="G394" s="252"/>
      <c r="H394" s="253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</row>
    <row r="395" spans="2:41" x14ac:dyDescent="0.25">
      <c r="B395" s="251"/>
      <c r="C395" s="251"/>
      <c r="D395" s="251"/>
      <c r="E395" s="251"/>
      <c r="F395" s="251"/>
      <c r="G395" s="252"/>
      <c r="H395" s="253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</row>
    <row r="396" spans="2:41" x14ac:dyDescent="0.25">
      <c r="B396" s="251"/>
      <c r="C396" s="251"/>
      <c r="D396" s="251"/>
      <c r="E396" s="251"/>
      <c r="F396" s="251"/>
      <c r="G396" s="252"/>
      <c r="H396" s="253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</row>
    <row r="397" spans="2:41" x14ac:dyDescent="0.25">
      <c r="B397" s="251"/>
      <c r="C397" s="251"/>
      <c r="D397" s="251"/>
      <c r="E397" s="251"/>
      <c r="F397" s="251"/>
      <c r="G397" s="252"/>
      <c r="H397" s="253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</row>
    <row r="398" spans="2:41" x14ac:dyDescent="0.25">
      <c r="B398" s="251"/>
      <c r="C398" s="251"/>
      <c r="D398" s="251"/>
      <c r="E398" s="251"/>
      <c r="F398" s="251"/>
      <c r="G398" s="252"/>
      <c r="H398" s="253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</row>
    <row r="399" spans="2:41" x14ac:dyDescent="0.25">
      <c r="B399" s="251"/>
      <c r="C399" s="251"/>
      <c r="D399" s="251"/>
      <c r="E399" s="251"/>
      <c r="F399" s="251"/>
      <c r="G399" s="252"/>
      <c r="H399" s="253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</row>
    <row r="400" spans="2:41" x14ac:dyDescent="0.25">
      <c r="B400" s="251"/>
      <c r="C400" s="251"/>
      <c r="D400" s="251"/>
      <c r="E400" s="251"/>
      <c r="F400" s="251"/>
      <c r="G400" s="252"/>
      <c r="H400" s="253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</row>
    <row r="401" spans="2:41" x14ac:dyDescent="0.25">
      <c r="B401" s="251"/>
      <c r="C401" s="251"/>
      <c r="D401" s="251"/>
      <c r="E401" s="251"/>
      <c r="F401" s="251"/>
      <c r="G401" s="252"/>
      <c r="H401" s="253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</row>
    <row r="402" spans="2:41" x14ac:dyDescent="0.25">
      <c r="B402" s="251"/>
      <c r="C402" s="251"/>
      <c r="D402" s="251"/>
      <c r="E402" s="251"/>
      <c r="F402" s="251"/>
      <c r="G402" s="252"/>
      <c r="H402" s="253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</row>
    <row r="403" spans="2:41" x14ac:dyDescent="0.25">
      <c r="B403" s="251"/>
      <c r="C403" s="251"/>
      <c r="D403" s="251"/>
      <c r="E403" s="251"/>
      <c r="F403" s="251"/>
      <c r="G403" s="252"/>
      <c r="H403" s="253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</row>
    <row r="404" spans="2:41" x14ac:dyDescent="0.25">
      <c r="B404" s="251"/>
      <c r="C404" s="251"/>
      <c r="D404" s="251"/>
      <c r="E404" s="251"/>
      <c r="F404" s="251"/>
      <c r="G404" s="252"/>
      <c r="H404" s="253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</row>
    <row r="405" spans="2:41" x14ac:dyDescent="0.25">
      <c r="B405" s="251"/>
      <c r="C405" s="251"/>
      <c r="D405" s="251"/>
      <c r="E405" s="251"/>
      <c r="F405" s="251"/>
      <c r="G405" s="252"/>
      <c r="H405" s="253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</row>
    <row r="406" spans="2:41" x14ac:dyDescent="0.25">
      <c r="B406" s="251"/>
      <c r="C406" s="251"/>
      <c r="D406" s="251"/>
      <c r="E406" s="251"/>
      <c r="F406" s="251"/>
      <c r="G406" s="252"/>
      <c r="H406" s="253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</row>
    <row r="407" spans="2:41" x14ac:dyDescent="0.25">
      <c r="B407" s="251"/>
      <c r="C407" s="251"/>
      <c r="D407" s="251"/>
      <c r="E407" s="251"/>
      <c r="F407" s="251"/>
      <c r="G407" s="252"/>
      <c r="H407" s="253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  <c r="AA407" s="251"/>
      <c r="AB407" s="251"/>
      <c r="AC407" s="251"/>
      <c r="AD407" s="251"/>
      <c r="AE407" s="251"/>
      <c r="AF407" s="251"/>
      <c r="AG407" s="251"/>
      <c r="AH407" s="251"/>
      <c r="AI407" s="251"/>
      <c r="AJ407" s="251"/>
      <c r="AK407" s="251"/>
      <c r="AL407" s="251"/>
      <c r="AM407" s="251"/>
      <c r="AN407" s="251"/>
      <c r="AO407" s="251"/>
    </row>
    <row r="408" spans="2:41" x14ac:dyDescent="0.25">
      <c r="B408" s="251"/>
      <c r="C408" s="251"/>
      <c r="D408" s="251"/>
      <c r="E408" s="251"/>
      <c r="F408" s="251"/>
      <c r="G408" s="252"/>
      <c r="H408" s="253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  <c r="AA408" s="251"/>
      <c r="AB408" s="251"/>
      <c r="AC408" s="251"/>
      <c r="AD408" s="251"/>
      <c r="AE408" s="251"/>
      <c r="AF408" s="251"/>
      <c r="AG408" s="251"/>
      <c r="AH408" s="251"/>
      <c r="AI408" s="251"/>
      <c r="AJ408" s="251"/>
      <c r="AK408" s="251"/>
      <c r="AL408" s="251"/>
      <c r="AM408" s="251"/>
      <c r="AN408" s="251"/>
      <c r="AO408" s="251"/>
    </row>
    <row r="409" spans="2:41" x14ac:dyDescent="0.25">
      <c r="B409" s="251"/>
      <c r="C409" s="251"/>
      <c r="D409" s="251"/>
      <c r="E409" s="251"/>
      <c r="F409" s="251"/>
      <c r="G409" s="252"/>
      <c r="H409" s="253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  <c r="AA409" s="251"/>
      <c r="AB409" s="251"/>
      <c r="AC409" s="251"/>
      <c r="AD409" s="251"/>
      <c r="AE409" s="251"/>
      <c r="AF409" s="251"/>
      <c r="AG409" s="251"/>
      <c r="AH409" s="251"/>
      <c r="AI409" s="251"/>
      <c r="AJ409" s="251"/>
      <c r="AK409" s="251"/>
      <c r="AL409" s="251"/>
      <c r="AM409" s="251"/>
      <c r="AN409" s="251"/>
      <c r="AO409" s="251"/>
    </row>
    <row r="410" spans="2:41" x14ac:dyDescent="0.25">
      <c r="B410" s="251"/>
      <c r="C410" s="251"/>
      <c r="D410" s="251"/>
      <c r="E410" s="251"/>
      <c r="F410" s="251"/>
      <c r="G410" s="252"/>
      <c r="H410" s="253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  <c r="AA410" s="251"/>
      <c r="AB410" s="251"/>
      <c r="AC410" s="251"/>
      <c r="AD410" s="251"/>
      <c r="AE410" s="251"/>
      <c r="AF410" s="251"/>
      <c r="AG410" s="251"/>
      <c r="AH410" s="251"/>
      <c r="AI410" s="251"/>
      <c r="AJ410" s="251"/>
      <c r="AK410" s="251"/>
      <c r="AL410" s="251"/>
      <c r="AM410" s="251"/>
      <c r="AN410" s="251"/>
      <c r="AO410" s="251"/>
    </row>
    <row r="411" spans="2:41" x14ac:dyDescent="0.25">
      <c r="B411" s="251"/>
      <c r="C411" s="251"/>
      <c r="D411" s="251"/>
      <c r="E411" s="251"/>
      <c r="F411" s="251"/>
      <c r="G411" s="252"/>
      <c r="H411" s="253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  <c r="AA411" s="251"/>
      <c r="AB411" s="251"/>
      <c r="AC411" s="251"/>
      <c r="AD411" s="251"/>
      <c r="AE411" s="251"/>
      <c r="AF411" s="251"/>
      <c r="AG411" s="251"/>
      <c r="AH411" s="251"/>
      <c r="AI411" s="251"/>
      <c r="AJ411" s="251"/>
      <c r="AK411" s="251"/>
      <c r="AL411" s="251"/>
      <c r="AM411" s="251"/>
      <c r="AN411" s="251"/>
      <c r="AO411" s="251"/>
    </row>
    <row r="412" spans="2:41" x14ac:dyDescent="0.25">
      <c r="B412" s="251"/>
      <c r="C412" s="251"/>
      <c r="D412" s="251"/>
      <c r="E412" s="251"/>
      <c r="F412" s="251"/>
      <c r="G412" s="252"/>
      <c r="H412" s="253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  <c r="AA412" s="251"/>
      <c r="AB412" s="251"/>
      <c r="AC412" s="251"/>
      <c r="AD412" s="251"/>
      <c r="AE412" s="251"/>
      <c r="AF412" s="251"/>
      <c r="AG412" s="251"/>
      <c r="AH412" s="251"/>
      <c r="AI412" s="251"/>
      <c r="AJ412" s="251"/>
      <c r="AK412" s="251"/>
      <c r="AL412" s="251"/>
      <c r="AM412" s="251"/>
      <c r="AN412" s="251"/>
      <c r="AO412" s="251"/>
    </row>
    <row r="413" spans="2:41" x14ac:dyDescent="0.25">
      <c r="B413" s="251"/>
      <c r="C413" s="251"/>
      <c r="D413" s="251"/>
      <c r="E413" s="251"/>
      <c r="F413" s="251"/>
      <c r="G413" s="252"/>
      <c r="H413" s="253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  <c r="AA413" s="251"/>
      <c r="AB413" s="251"/>
      <c r="AC413" s="251"/>
      <c r="AD413" s="251"/>
      <c r="AE413" s="251"/>
      <c r="AF413" s="251"/>
      <c r="AG413" s="251"/>
      <c r="AH413" s="251"/>
      <c r="AI413" s="251"/>
      <c r="AJ413" s="251"/>
      <c r="AK413" s="251"/>
      <c r="AL413" s="251"/>
      <c r="AM413" s="251"/>
      <c r="AN413" s="251"/>
      <c r="AO413" s="251"/>
    </row>
    <row r="414" spans="2:41" x14ac:dyDescent="0.25">
      <c r="B414" s="251"/>
      <c r="C414" s="251"/>
      <c r="D414" s="251"/>
      <c r="E414" s="251"/>
      <c r="F414" s="251"/>
      <c r="G414" s="252"/>
      <c r="H414" s="253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  <c r="AA414" s="251"/>
      <c r="AB414" s="251"/>
      <c r="AC414" s="251"/>
      <c r="AD414" s="251"/>
      <c r="AE414" s="251"/>
      <c r="AF414" s="251"/>
      <c r="AG414" s="251"/>
      <c r="AH414" s="251"/>
      <c r="AI414" s="251"/>
      <c r="AJ414" s="251"/>
      <c r="AK414" s="251"/>
      <c r="AL414" s="251"/>
      <c r="AM414" s="251"/>
      <c r="AN414" s="251"/>
      <c r="AO414" s="251"/>
    </row>
    <row r="415" spans="2:41" x14ac:dyDescent="0.25">
      <c r="B415" s="251"/>
      <c r="C415" s="251"/>
      <c r="D415" s="251"/>
      <c r="E415" s="251"/>
      <c r="F415" s="251"/>
      <c r="G415" s="252"/>
      <c r="H415" s="253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  <c r="AA415" s="251"/>
      <c r="AB415" s="251"/>
      <c r="AC415" s="251"/>
      <c r="AD415" s="251"/>
      <c r="AE415" s="251"/>
      <c r="AF415" s="251"/>
      <c r="AG415" s="251"/>
      <c r="AH415" s="251"/>
      <c r="AI415" s="251"/>
      <c r="AJ415" s="251"/>
      <c r="AK415" s="251"/>
      <c r="AL415" s="251"/>
      <c r="AM415" s="251"/>
      <c r="AN415" s="251"/>
      <c r="AO415" s="251"/>
    </row>
    <row r="416" spans="2:41" x14ac:dyDescent="0.25">
      <c r="B416" s="251"/>
      <c r="C416" s="251"/>
      <c r="D416" s="251"/>
      <c r="E416" s="251"/>
      <c r="F416" s="251"/>
      <c r="G416" s="252"/>
      <c r="H416" s="253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  <c r="AA416" s="251"/>
      <c r="AB416" s="251"/>
      <c r="AC416" s="251"/>
      <c r="AD416" s="251"/>
      <c r="AE416" s="251"/>
      <c r="AF416" s="251"/>
      <c r="AG416" s="251"/>
      <c r="AH416" s="251"/>
      <c r="AI416" s="251"/>
      <c r="AJ416" s="251"/>
      <c r="AK416" s="251"/>
      <c r="AL416" s="251"/>
      <c r="AM416" s="251"/>
      <c r="AN416" s="251"/>
      <c r="AO416" s="251"/>
    </row>
    <row r="417" spans="2:41" x14ac:dyDescent="0.25">
      <c r="B417" s="251"/>
      <c r="C417" s="251"/>
      <c r="D417" s="251"/>
      <c r="E417" s="251"/>
      <c r="F417" s="251"/>
      <c r="G417" s="252"/>
      <c r="H417" s="253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  <c r="AA417" s="251"/>
      <c r="AB417" s="251"/>
      <c r="AC417" s="251"/>
      <c r="AD417" s="251"/>
      <c r="AE417" s="251"/>
      <c r="AF417" s="251"/>
      <c r="AG417" s="251"/>
      <c r="AH417" s="251"/>
      <c r="AI417" s="251"/>
      <c r="AJ417" s="251"/>
      <c r="AK417" s="251"/>
      <c r="AL417" s="251"/>
      <c r="AM417" s="251"/>
      <c r="AN417" s="251"/>
      <c r="AO417" s="251"/>
    </row>
    <row r="418" spans="2:41" x14ac:dyDescent="0.25">
      <c r="B418" s="251"/>
      <c r="C418" s="251"/>
      <c r="D418" s="251"/>
      <c r="E418" s="251"/>
      <c r="F418" s="251"/>
      <c r="G418" s="252"/>
      <c r="H418" s="253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  <c r="AA418" s="251"/>
      <c r="AB418" s="251"/>
      <c r="AC418" s="251"/>
      <c r="AD418" s="251"/>
      <c r="AE418" s="251"/>
      <c r="AF418" s="251"/>
      <c r="AG418" s="251"/>
      <c r="AH418" s="251"/>
      <c r="AI418" s="251"/>
      <c r="AJ418" s="251"/>
      <c r="AK418" s="251"/>
      <c r="AL418" s="251"/>
      <c r="AM418" s="251"/>
      <c r="AN418" s="251"/>
      <c r="AO418" s="251"/>
    </row>
    <row r="419" spans="2:41" x14ac:dyDescent="0.25">
      <c r="B419" s="251"/>
      <c r="C419" s="251"/>
      <c r="D419" s="251"/>
      <c r="E419" s="251"/>
      <c r="F419" s="251"/>
      <c r="G419" s="252"/>
      <c r="H419" s="253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  <c r="AA419" s="251"/>
      <c r="AB419" s="251"/>
      <c r="AC419" s="251"/>
      <c r="AD419" s="251"/>
      <c r="AE419" s="251"/>
      <c r="AF419" s="251"/>
      <c r="AG419" s="251"/>
      <c r="AH419" s="251"/>
      <c r="AI419" s="251"/>
      <c r="AJ419" s="251"/>
      <c r="AK419" s="251"/>
      <c r="AL419" s="251"/>
      <c r="AM419" s="251"/>
      <c r="AN419" s="251"/>
      <c r="AO419" s="251"/>
    </row>
    <row r="420" spans="2:41" x14ac:dyDescent="0.25">
      <c r="B420" s="251"/>
      <c r="C420" s="251"/>
      <c r="D420" s="251"/>
      <c r="E420" s="251"/>
      <c r="F420" s="251"/>
      <c r="G420" s="252"/>
      <c r="H420" s="253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1"/>
      <c r="AG420" s="251"/>
      <c r="AH420" s="251"/>
      <c r="AI420" s="251"/>
      <c r="AJ420" s="251"/>
      <c r="AK420" s="251"/>
      <c r="AL420" s="251"/>
      <c r="AM420" s="251"/>
      <c r="AN420" s="251"/>
      <c r="AO420" s="251"/>
    </row>
    <row r="421" spans="2:41" x14ac:dyDescent="0.25">
      <c r="B421" s="251"/>
      <c r="C421" s="251"/>
      <c r="D421" s="251"/>
      <c r="E421" s="251"/>
      <c r="F421" s="251"/>
      <c r="G421" s="252"/>
      <c r="H421" s="253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  <c r="AA421" s="251"/>
      <c r="AB421" s="251"/>
      <c r="AC421" s="251"/>
      <c r="AD421" s="251"/>
      <c r="AE421" s="251"/>
      <c r="AF421" s="251"/>
      <c r="AG421" s="251"/>
      <c r="AH421" s="251"/>
      <c r="AI421" s="251"/>
      <c r="AJ421" s="251"/>
      <c r="AK421" s="251"/>
      <c r="AL421" s="251"/>
      <c r="AM421" s="251"/>
      <c r="AN421" s="251"/>
      <c r="AO421" s="251"/>
    </row>
    <row r="422" spans="2:41" x14ac:dyDescent="0.25">
      <c r="B422" s="251"/>
      <c r="C422" s="251"/>
      <c r="D422" s="251"/>
      <c r="E422" s="251"/>
      <c r="F422" s="251"/>
      <c r="G422" s="252"/>
      <c r="H422" s="253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  <c r="AA422" s="251"/>
      <c r="AB422" s="251"/>
      <c r="AC422" s="251"/>
      <c r="AD422" s="251"/>
      <c r="AE422" s="251"/>
      <c r="AF422" s="251"/>
      <c r="AG422" s="251"/>
      <c r="AH422" s="251"/>
      <c r="AI422" s="251"/>
      <c r="AJ422" s="251"/>
      <c r="AK422" s="251"/>
      <c r="AL422" s="251"/>
      <c r="AM422" s="251"/>
      <c r="AN422" s="251"/>
      <c r="AO422" s="251"/>
    </row>
    <row r="423" spans="2:41" x14ac:dyDescent="0.25">
      <c r="B423" s="251"/>
      <c r="C423" s="251"/>
      <c r="D423" s="251"/>
      <c r="E423" s="251"/>
      <c r="F423" s="251"/>
      <c r="G423" s="252"/>
      <c r="H423" s="253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  <c r="AA423" s="251"/>
      <c r="AB423" s="251"/>
      <c r="AC423" s="251"/>
      <c r="AD423" s="251"/>
      <c r="AE423" s="251"/>
      <c r="AF423" s="251"/>
      <c r="AG423" s="251"/>
      <c r="AH423" s="251"/>
      <c r="AI423" s="251"/>
      <c r="AJ423" s="251"/>
      <c r="AK423" s="251"/>
      <c r="AL423" s="251"/>
      <c r="AM423" s="251"/>
      <c r="AN423" s="251"/>
      <c r="AO423" s="251"/>
    </row>
    <row r="424" spans="2:41" x14ac:dyDescent="0.25">
      <c r="B424" s="251"/>
      <c r="C424" s="251"/>
      <c r="D424" s="251"/>
      <c r="E424" s="251"/>
      <c r="F424" s="251"/>
      <c r="G424" s="252"/>
      <c r="H424" s="253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  <c r="AA424" s="251"/>
      <c r="AB424" s="251"/>
      <c r="AC424" s="251"/>
      <c r="AD424" s="251"/>
      <c r="AE424" s="251"/>
      <c r="AF424" s="251"/>
      <c r="AG424" s="251"/>
      <c r="AH424" s="251"/>
      <c r="AI424" s="251"/>
      <c r="AJ424" s="251"/>
      <c r="AK424" s="251"/>
      <c r="AL424" s="251"/>
      <c r="AM424" s="251"/>
      <c r="AN424" s="251"/>
      <c r="AO424" s="251"/>
    </row>
    <row r="425" spans="2:41" x14ac:dyDescent="0.25">
      <c r="B425" s="251"/>
      <c r="C425" s="251"/>
      <c r="D425" s="251"/>
      <c r="E425" s="251"/>
      <c r="F425" s="251"/>
      <c r="G425" s="252"/>
      <c r="H425" s="253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  <c r="AA425" s="251"/>
      <c r="AB425" s="251"/>
      <c r="AC425" s="251"/>
      <c r="AD425" s="251"/>
      <c r="AE425" s="251"/>
      <c r="AF425" s="251"/>
      <c r="AG425" s="251"/>
      <c r="AH425" s="251"/>
      <c r="AI425" s="251"/>
      <c r="AJ425" s="251"/>
      <c r="AK425" s="251"/>
      <c r="AL425" s="251"/>
      <c r="AM425" s="251"/>
      <c r="AN425" s="251"/>
      <c r="AO425" s="251"/>
    </row>
    <row r="426" spans="2:41" x14ac:dyDescent="0.25">
      <c r="B426" s="251"/>
      <c r="C426" s="251"/>
      <c r="D426" s="251"/>
      <c r="E426" s="251"/>
      <c r="F426" s="251"/>
      <c r="G426" s="252"/>
      <c r="H426" s="253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  <c r="AA426" s="251"/>
      <c r="AB426" s="251"/>
      <c r="AC426" s="251"/>
      <c r="AD426" s="251"/>
      <c r="AE426" s="251"/>
      <c r="AF426" s="251"/>
      <c r="AG426" s="251"/>
      <c r="AH426" s="251"/>
      <c r="AI426" s="251"/>
      <c r="AJ426" s="251"/>
      <c r="AK426" s="251"/>
      <c r="AL426" s="251"/>
      <c r="AM426" s="251"/>
      <c r="AN426" s="251"/>
      <c r="AO426" s="251"/>
    </row>
    <row r="427" spans="2:41" x14ac:dyDescent="0.25">
      <c r="B427" s="251"/>
      <c r="C427" s="251"/>
      <c r="D427" s="251"/>
      <c r="E427" s="251"/>
      <c r="F427" s="251"/>
      <c r="G427" s="252"/>
      <c r="H427" s="253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  <c r="AA427" s="251"/>
      <c r="AB427" s="251"/>
      <c r="AC427" s="251"/>
      <c r="AD427" s="251"/>
      <c r="AE427" s="251"/>
      <c r="AF427" s="251"/>
      <c r="AG427" s="251"/>
      <c r="AH427" s="251"/>
      <c r="AI427" s="251"/>
      <c r="AJ427" s="251"/>
      <c r="AK427" s="251"/>
      <c r="AL427" s="251"/>
      <c r="AM427" s="251"/>
      <c r="AN427" s="251"/>
      <c r="AO427" s="251"/>
    </row>
    <row r="428" spans="2:41" x14ac:dyDescent="0.25">
      <c r="B428" s="251"/>
      <c r="C428" s="251"/>
      <c r="D428" s="251"/>
      <c r="E428" s="251"/>
      <c r="F428" s="251"/>
      <c r="G428" s="252"/>
      <c r="H428" s="253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  <c r="AA428" s="251"/>
      <c r="AB428" s="251"/>
      <c r="AC428" s="251"/>
      <c r="AD428" s="251"/>
      <c r="AE428" s="251"/>
      <c r="AF428" s="251"/>
      <c r="AG428" s="251"/>
      <c r="AH428" s="251"/>
      <c r="AI428" s="251"/>
      <c r="AJ428" s="251"/>
      <c r="AK428" s="251"/>
      <c r="AL428" s="251"/>
      <c r="AM428" s="251"/>
      <c r="AN428" s="251"/>
      <c r="AO428" s="251"/>
    </row>
    <row r="429" spans="2:41" x14ac:dyDescent="0.25">
      <c r="B429" s="251"/>
      <c r="C429" s="251"/>
      <c r="D429" s="251"/>
      <c r="E429" s="251"/>
      <c r="F429" s="251"/>
      <c r="G429" s="252"/>
      <c r="H429" s="253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  <c r="AA429" s="251"/>
      <c r="AB429" s="251"/>
      <c r="AC429" s="251"/>
      <c r="AD429" s="251"/>
      <c r="AE429" s="251"/>
      <c r="AF429" s="251"/>
      <c r="AG429" s="251"/>
      <c r="AH429" s="251"/>
      <c r="AI429" s="251"/>
      <c r="AJ429" s="251"/>
      <c r="AK429" s="251"/>
      <c r="AL429" s="251"/>
      <c r="AM429" s="251"/>
      <c r="AN429" s="251"/>
      <c r="AO429" s="251"/>
    </row>
    <row r="430" spans="2:41" x14ac:dyDescent="0.25">
      <c r="B430" s="251"/>
      <c r="C430" s="251"/>
      <c r="D430" s="251"/>
      <c r="E430" s="251"/>
      <c r="F430" s="251"/>
      <c r="G430" s="252"/>
      <c r="H430" s="253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  <c r="AA430" s="251"/>
      <c r="AB430" s="251"/>
      <c r="AC430" s="251"/>
      <c r="AD430" s="251"/>
      <c r="AE430" s="251"/>
      <c r="AF430" s="251"/>
      <c r="AG430" s="251"/>
      <c r="AH430" s="251"/>
      <c r="AI430" s="251"/>
      <c r="AJ430" s="251"/>
      <c r="AK430" s="251"/>
      <c r="AL430" s="251"/>
      <c r="AM430" s="251"/>
      <c r="AN430" s="251"/>
      <c r="AO430" s="251"/>
    </row>
    <row r="431" spans="2:41" x14ac:dyDescent="0.25">
      <c r="B431" s="251"/>
      <c r="C431" s="251"/>
      <c r="D431" s="251"/>
      <c r="E431" s="251"/>
      <c r="F431" s="251"/>
      <c r="G431" s="252"/>
      <c r="H431" s="253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  <c r="AA431" s="251"/>
      <c r="AB431" s="251"/>
      <c r="AC431" s="251"/>
      <c r="AD431" s="251"/>
      <c r="AE431" s="251"/>
      <c r="AF431" s="251"/>
      <c r="AG431" s="251"/>
      <c r="AH431" s="251"/>
      <c r="AI431" s="251"/>
      <c r="AJ431" s="251"/>
      <c r="AK431" s="251"/>
      <c r="AL431" s="251"/>
      <c r="AM431" s="251"/>
      <c r="AN431" s="251"/>
      <c r="AO431" s="251"/>
    </row>
    <row r="432" spans="2:41" x14ac:dyDescent="0.25">
      <c r="B432" s="251"/>
      <c r="C432" s="251"/>
      <c r="D432" s="251"/>
      <c r="E432" s="251"/>
      <c r="F432" s="251"/>
      <c r="G432" s="252"/>
      <c r="H432" s="253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  <c r="AA432" s="251"/>
      <c r="AB432" s="251"/>
      <c r="AC432" s="251"/>
      <c r="AD432" s="251"/>
      <c r="AE432" s="251"/>
      <c r="AF432" s="251"/>
      <c r="AG432" s="251"/>
      <c r="AH432" s="251"/>
      <c r="AI432" s="251"/>
      <c r="AJ432" s="251"/>
      <c r="AK432" s="251"/>
      <c r="AL432" s="251"/>
      <c r="AM432" s="251"/>
      <c r="AN432" s="251"/>
      <c r="AO432" s="251"/>
    </row>
    <row r="433" spans="2:41" x14ac:dyDescent="0.25">
      <c r="B433" s="251"/>
      <c r="C433" s="251"/>
      <c r="D433" s="251"/>
      <c r="E433" s="251"/>
      <c r="F433" s="251"/>
      <c r="G433" s="252"/>
      <c r="H433" s="253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  <c r="AA433" s="251"/>
      <c r="AB433" s="251"/>
      <c r="AC433" s="251"/>
      <c r="AD433" s="251"/>
      <c r="AE433" s="251"/>
      <c r="AF433" s="251"/>
      <c r="AG433" s="251"/>
      <c r="AH433" s="251"/>
      <c r="AI433" s="251"/>
      <c r="AJ433" s="251"/>
      <c r="AK433" s="251"/>
      <c r="AL433" s="251"/>
      <c r="AM433" s="251"/>
      <c r="AN433" s="251"/>
      <c r="AO433" s="251"/>
    </row>
    <row r="434" spans="2:41" x14ac:dyDescent="0.25">
      <c r="B434" s="251"/>
      <c r="C434" s="251"/>
      <c r="D434" s="251"/>
      <c r="E434" s="251"/>
      <c r="F434" s="251"/>
      <c r="G434" s="252"/>
      <c r="H434" s="253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  <c r="AA434" s="251"/>
      <c r="AB434" s="251"/>
      <c r="AC434" s="251"/>
      <c r="AD434" s="251"/>
      <c r="AE434" s="251"/>
      <c r="AF434" s="251"/>
      <c r="AG434" s="251"/>
      <c r="AH434" s="251"/>
      <c r="AI434" s="251"/>
      <c r="AJ434" s="251"/>
      <c r="AK434" s="251"/>
      <c r="AL434" s="251"/>
      <c r="AM434" s="251"/>
      <c r="AN434" s="251"/>
      <c r="AO434" s="251"/>
    </row>
    <row r="435" spans="2:41" x14ac:dyDescent="0.25">
      <c r="B435" s="251"/>
      <c r="C435" s="251"/>
      <c r="D435" s="251"/>
      <c r="E435" s="251"/>
      <c r="F435" s="251"/>
      <c r="G435" s="252"/>
      <c r="H435" s="253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  <c r="AA435" s="251"/>
      <c r="AB435" s="251"/>
      <c r="AC435" s="251"/>
      <c r="AD435" s="251"/>
      <c r="AE435" s="251"/>
      <c r="AF435" s="251"/>
      <c r="AG435" s="251"/>
      <c r="AH435" s="251"/>
      <c r="AI435" s="251"/>
      <c r="AJ435" s="251"/>
      <c r="AK435" s="251"/>
      <c r="AL435" s="251"/>
      <c r="AM435" s="251"/>
      <c r="AN435" s="251"/>
      <c r="AO435" s="251"/>
    </row>
    <row r="436" spans="2:41" x14ac:dyDescent="0.25">
      <c r="B436" s="251"/>
      <c r="C436" s="251"/>
      <c r="D436" s="251"/>
      <c r="E436" s="251"/>
      <c r="F436" s="251"/>
      <c r="G436" s="252"/>
      <c r="H436" s="253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  <c r="AA436" s="251"/>
      <c r="AB436" s="251"/>
      <c r="AC436" s="251"/>
      <c r="AD436" s="251"/>
      <c r="AE436" s="251"/>
      <c r="AF436" s="251"/>
      <c r="AG436" s="251"/>
      <c r="AH436" s="251"/>
      <c r="AI436" s="251"/>
      <c r="AJ436" s="251"/>
      <c r="AK436" s="251"/>
      <c r="AL436" s="251"/>
      <c r="AM436" s="251"/>
      <c r="AN436" s="251"/>
      <c r="AO436" s="251"/>
    </row>
    <row r="437" spans="2:41" x14ac:dyDescent="0.25">
      <c r="B437" s="251"/>
      <c r="C437" s="251"/>
      <c r="D437" s="251"/>
      <c r="E437" s="251"/>
      <c r="F437" s="251"/>
      <c r="G437" s="252"/>
      <c r="H437" s="253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  <c r="AA437" s="251"/>
      <c r="AB437" s="251"/>
      <c r="AC437" s="251"/>
      <c r="AD437" s="251"/>
      <c r="AE437" s="251"/>
      <c r="AF437" s="251"/>
      <c r="AG437" s="251"/>
      <c r="AH437" s="251"/>
      <c r="AI437" s="251"/>
      <c r="AJ437" s="251"/>
      <c r="AK437" s="251"/>
      <c r="AL437" s="251"/>
      <c r="AM437" s="251"/>
      <c r="AN437" s="251"/>
      <c r="AO437" s="251"/>
    </row>
    <row r="438" spans="2:41" x14ac:dyDescent="0.25">
      <c r="B438" s="251"/>
      <c r="C438" s="251"/>
      <c r="D438" s="251"/>
      <c r="E438" s="251"/>
      <c r="F438" s="251"/>
      <c r="G438" s="252"/>
      <c r="H438" s="253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  <c r="AA438" s="251"/>
      <c r="AB438" s="251"/>
      <c r="AC438" s="251"/>
      <c r="AD438" s="251"/>
      <c r="AE438" s="251"/>
      <c r="AF438" s="251"/>
      <c r="AG438" s="251"/>
      <c r="AH438" s="251"/>
      <c r="AI438" s="251"/>
      <c r="AJ438" s="251"/>
      <c r="AK438" s="251"/>
      <c r="AL438" s="251"/>
      <c r="AM438" s="251"/>
      <c r="AN438" s="251"/>
      <c r="AO438" s="251"/>
    </row>
    <row r="439" spans="2:41" x14ac:dyDescent="0.25">
      <c r="B439" s="251"/>
      <c r="C439" s="251"/>
      <c r="D439" s="251"/>
      <c r="E439" s="251"/>
      <c r="F439" s="251"/>
      <c r="G439" s="252"/>
      <c r="H439" s="253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  <c r="AA439" s="251"/>
      <c r="AB439" s="251"/>
      <c r="AC439" s="251"/>
      <c r="AD439" s="251"/>
      <c r="AE439" s="251"/>
      <c r="AF439" s="251"/>
      <c r="AG439" s="251"/>
      <c r="AH439" s="251"/>
      <c r="AI439" s="251"/>
      <c r="AJ439" s="251"/>
      <c r="AK439" s="251"/>
      <c r="AL439" s="251"/>
      <c r="AM439" s="251"/>
      <c r="AN439" s="251"/>
      <c r="AO439" s="251"/>
    </row>
    <row r="440" spans="2:41" x14ac:dyDescent="0.25">
      <c r="B440" s="251"/>
      <c r="C440" s="251"/>
      <c r="D440" s="251"/>
      <c r="E440" s="251"/>
      <c r="F440" s="251"/>
      <c r="G440" s="252"/>
      <c r="H440" s="253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  <c r="AA440" s="251"/>
      <c r="AB440" s="251"/>
      <c r="AC440" s="251"/>
      <c r="AD440" s="251"/>
      <c r="AE440" s="251"/>
      <c r="AF440" s="251"/>
      <c r="AG440" s="251"/>
      <c r="AH440" s="251"/>
      <c r="AI440" s="251"/>
      <c r="AJ440" s="251"/>
      <c r="AK440" s="251"/>
      <c r="AL440" s="251"/>
      <c r="AM440" s="251"/>
      <c r="AN440" s="251"/>
      <c r="AO440" s="251"/>
    </row>
    <row r="441" spans="2:41" x14ac:dyDescent="0.25">
      <c r="B441" s="251"/>
      <c r="C441" s="251"/>
      <c r="D441" s="251"/>
      <c r="E441" s="251"/>
      <c r="F441" s="251"/>
      <c r="G441" s="252"/>
      <c r="H441" s="253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  <c r="AA441" s="251"/>
      <c r="AB441" s="251"/>
      <c r="AC441" s="251"/>
      <c r="AD441" s="251"/>
      <c r="AE441" s="251"/>
      <c r="AF441" s="251"/>
      <c r="AG441" s="251"/>
      <c r="AH441" s="251"/>
      <c r="AI441" s="251"/>
      <c r="AJ441" s="251"/>
      <c r="AK441" s="251"/>
      <c r="AL441" s="251"/>
      <c r="AM441" s="251"/>
      <c r="AN441" s="251"/>
      <c r="AO441" s="251"/>
    </row>
    <row r="442" spans="2:41" x14ac:dyDescent="0.25">
      <c r="B442" s="251"/>
      <c r="C442" s="251"/>
      <c r="D442" s="251"/>
      <c r="E442" s="251"/>
      <c r="F442" s="251"/>
      <c r="G442" s="252"/>
      <c r="H442" s="253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  <c r="AA442" s="251"/>
      <c r="AB442" s="251"/>
      <c r="AC442" s="251"/>
      <c r="AD442" s="251"/>
      <c r="AE442" s="251"/>
      <c r="AF442" s="251"/>
      <c r="AG442" s="251"/>
      <c r="AH442" s="251"/>
      <c r="AI442" s="251"/>
      <c r="AJ442" s="251"/>
      <c r="AK442" s="251"/>
      <c r="AL442" s="251"/>
      <c r="AM442" s="251"/>
      <c r="AN442" s="251"/>
      <c r="AO442" s="251"/>
    </row>
    <row r="443" spans="2:41" x14ac:dyDescent="0.25">
      <c r="B443" s="251"/>
      <c r="C443" s="251"/>
      <c r="D443" s="251"/>
      <c r="E443" s="251"/>
      <c r="F443" s="251"/>
      <c r="G443" s="252"/>
      <c r="H443" s="253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  <c r="AA443" s="251"/>
      <c r="AB443" s="251"/>
      <c r="AC443" s="251"/>
      <c r="AD443" s="251"/>
      <c r="AE443" s="251"/>
      <c r="AF443" s="251"/>
      <c r="AG443" s="251"/>
      <c r="AH443" s="251"/>
      <c r="AI443" s="251"/>
      <c r="AJ443" s="251"/>
      <c r="AK443" s="251"/>
      <c r="AL443" s="251"/>
      <c r="AM443" s="251"/>
      <c r="AN443" s="251"/>
      <c r="AO443" s="251"/>
    </row>
    <row r="444" spans="2:41" x14ac:dyDescent="0.25">
      <c r="B444" s="251"/>
      <c r="C444" s="251"/>
      <c r="D444" s="251"/>
      <c r="E444" s="251"/>
      <c r="F444" s="251"/>
      <c r="G444" s="252"/>
      <c r="H444" s="253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  <c r="AA444" s="251"/>
      <c r="AB444" s="251"/>
      <c r="AC444" s="251"/>
      <c r="AD444" s="251"/>
      <c r="AE444" s="251"/>
      <c r="AF444" s="251"/>
      <c r="AG444" s="251"/>
      <c r="AH444" s="251"/>
      <c r="AI444" s="251"/>
      <c r="AJ444" s="251"/>
      <c r="AK444" s="251"/>
      <c r="AL444" s="251"/>
      <c r="AM444" s="251"/>
      <c r="AN444" s="251"/>
      <c r="AO444" s="251"/>
    </row>
    <row r="445" spans="2:41" x14ac:dyDescent="0.25">
      <c r="B445" s="251"/>
      <c r="C445" s="251"/>
      <c r="D445" s="251"/>
      <c r="E445" s="251"/>
      <c r="F445" s="251"/>
      <c r="G445" s="252"/>
      <c r="H445" s="253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  <c r="AA445" s="251"/>
      <c r="AB445" s="251"/>
      <c r="AC445" s="251"/>
      <c r="AD445" s="251"/>
      <c r="AE445" s="251"/>
      <c r="AF445" s="251"/>
      <c r="AG445" s="251"/>
      <c r="AH445" s="251"/>
      <c r="AI445" s="251"/>
      <c r="AJ445" s="251"/>
      <c r="AK445" s="251"/>
      <c r="AL445" s="251"/>
      <c r="AM445" s="251"/>
      <c r="AN445" s="251"/>
      <c r="AO445" s="251"/>
    </row>
    <row r="446" spans="2:41" x14ac:dyDescent="0.25">
      <c r="B446" s="251"/>
      <c r="C446" s="251"/>
      <c r="D446" s="251"/>
      <c r="E446" s="251"/>
      <c r="F446" s="251"/>
      <c r="G446" s="252"/>
      <c r="H446" s="253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  <c r="AA446" s="251"/>
      <c r="AB446" s="251"/>
      <c r="AC446" s="251"/>
      <c r="AD446" s="251"/>
      <c r="AE446" s="251"/>
      <c r="AF446" s="251"/>
      <c r="AG446" s="251"/>
      <c r="AH446" s="251"/>
      <c r="AI446" s="251"/>
      <c r="AJ446" s="251"/>
      <c r="AK446" s="251"/>
      <c r="AL446" s="251"/>
      <c r="AM446" s="251"/>
      <c r="AN446" s="251"/>
      <c r="AO446" s="251"/>
    </row>
    <row r="447" spans="2:41" x14ac:dyDescent="0.25">
      <c r="B447" s="251"/>
      <c r="C447" s="251"/>
      <c r="D447" s="251"/>
      <c r="E447" s="251"/>
      <c r="F447" s="251"/>
      <c r="G447" s="252"/>
      <c r="H447" s="253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  <c r="AA447" s="251"/>
      <c r="AB447" s="251"/>
      <c r="AC447" s="251"/>
      <c r="AD447" s="251"/>
      <c r="AE447" s="251"/>
      <c r="AF447" s="251"/>
      <c r="AG447" s="251"/>
      <c r="AH447" s="251"/>
      <c r="AI447" s="251"/>
      <c r="AJ447" s="251"/>
      <c r="AK447" s="251"/>
      <c r="AL447" s="251"/>
      <c r="AM447" s="251"/>
      <c r="AN447" s="251"/>
      <c r="AO447" s="251"/>
    </row>
    <row r="448" spans="2:41" x14ac:dyDescent="0.25">
      <c r="B448" s="251"/>
      <c r="C448" s="251"/>
      <c r="D448" s="251"/>
      <c r="E448" s="251"/>
      <c r="F448" s="251"/>
      <c r="G448" s="252"/>
      <c r="H448" s="253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  <c r="AA448" s="251"/>
      <c r="AB448" s="251"/>
      <c r="AC448" s="251"/>
      <c r="AD448" s="251"/>
      <c r="AE448" s="251"/>
      <c r="AF448" s="251"/>
      <c r="AG448" s="251"/>
      <c r="AH448" s="251"/>
      <c r="AI448" s="251"/>
      <c r="AJ448" s="251"/>
      <c r="AK448" s="251"/>
      <c r="AL448" s="251"/>
      <c r="AM448" s="251"/>
      <c r="AN448" s="251"/>
      <c r="AO448" s="251"/>
    </row>
    <row r="449" spans="2:41" x14ac:dyDescent="0.25">
      <c r="B449" s="251"/>
      <c r="C449" s="251"/>
      <c r="D449" s="251"/>
      <c r="E449" s="251"/>
      <c r="F449" s="251"/>
      <c r="G449" s="252"/>
      <c r="H449" s="253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  <c r="AA449" s="251"/>
      <c r="AB449" s="251"/>
      <c r="AC449" s="251"/>
      <c r="AD449" s="251"/>
      <c r="AE449" s="251"/>
      <c r="AF449" s="251"/>
      <c r="AG449" s="251"/>
      <c r="AH449" s="251"/>
      <c r="AI449" s="251"/>
      <c r="AJ449" s="251"/>
      <c r="AK449" s="251"/>
      <c r="AL449" s="251"/>
      <c r="AM449" s="251"/>
      <c r="AN449" s="251"/>
      <c r="AO449" s="251"/>
    </row>
    <row r="450" spans="2:41" x14ac:dyDescent="0.25">
      <c r="B450" s="251"/>
      <c r="C450" s="251"/>
      <c r="D450" s="251"/>
      <c r="E450" s="251"/>
      <c r="F450" s="251"/>
      <c r="G450" s="252"/>
      <c r="H450" s="253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  <c r="AA450" s="251"/>
      <c r="AB450" s="251"/>
      <c r="AC450" s="251"/>
      <c r="AD450" s="251"/>
      <c r="AE450" s="251"/>
      <c r="AF450" s="251"/>
      <c r="AG450" s="251"/>
      <c r="AH450" s="251"/>
      <c r="AI450" s="251"/>
      <c r="AJ450" s="251"/>
      <c r="AK450" s="251"/>
      <c r="AL450" s="251"/>
      <c r="AM450" s="251"/>
      <c r="AN450" s="251"/>
      <c r="AO450" s="251"/>
    </row>
    <row r="451" spans="2:41" x14ac:dyDescent="0.25">
      <c r="B451" s="251"/>
      <c r="C451" s="251"/>
      <c r="D451" s="251"/>
      <c r="E451" s="251"/>
      <c r="F451" s="251"/>
      <c r="G451" s="252"/>
      <c r="H451" s="253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  <c r="AA451" s="251"/>
      <c r="AB451" s="251"/>
      <c r="AC451" s="251"/>
      <c r="AD451" s="251"/>
      <c r="AE451" s="251"/>
      <c r="AF451" s="251"/>
      <c r="AG451" s="251"/>
      <c r="AH451" s="251"/>
      <c r="AI451" s="251"/>
      <c r="AJ451" s="251"/>
      <c r="AK451" s="251"/>
      <c r="AL451" s="251"/>
      <c r="AM451" s="251"/>
      <c r="AN451" s="251"/>
      <c r="AO451" s="251"/>
    </row>
    <row r="452" spans="2:41" x14ac:dyDescent="0.25">
      <c r="B452" s="251"/>
      <c r="C452" s="251"/>
      <c r="D452" s="251"/>
      <c r="E452" s="251"/>
      <c r="F452" s="251"/>
      <c r="G452" s="252"/>
      <c r="H452" s="253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  <c r="AA452" s="251"/>
      <c r="AB452" s="251"/>
      <c r="AC452" s="251"/>
      <c r="AD452" s="251"/>
      <c r="AE452" s="251"/>
      <c r="AF452" s="251"/>
      <c r="AG452" s="251"/>
      <c r="AH452" s="251"/>
      <c r="AI452" s="251"/>
      <c r="AJ452" s="251"/>
      <c r="AK452" s="251"/>
      <c r="AL452" s="251"/>
      <c r="AM452" s="251"/>
      <c r="AN452" s="251"/>
      <c r="AO452" s="251"/>
    </row>
    <row r="453" spans="2:41" x14ac:dyDescent="0.25">
      <c r="B453" s="251"/>
      <c r="C453" s="251"/>
      <c r="D453" s="251"/>
      <c r="E453" s="251"/>
      <c r="F453" s="251"/>
      <c r="G453" s="252"/>
      <c r="H453" s="253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  <c r="AA453" s="251"/>
      <c r="AB453" s="251"/>
      <c r="AC453" s="251"/>
      <c r="AD453" s="251"/>
      <c r="AE453" s="251"/>
      <c r="AF453" s="251"/>
      <c r="AG453" s="251"/>
      <c r="AH453" s="251"/>
      <c r="AI453" s="251"/>
      <c r="AJ453" s="251"/>
      <c r="AK453" s="251"/>
      <c r="AL453" s="251"/>
      <c r="AM453" s="251"/>
      <c r="AN453" s="251"/>
      <c r="AO453" s="251"/>
    </row>
    <row r="454" spans="2:41" x14ac:dyDescent="0.25">
      <c r="B454" s="251"/>
      <c r="C454" s="251"/>
      <c r="D454" s="251"/>
      <c r="E454" s="251"/>
      <c r="F454" s="251"/>
      <c r="G454" s="252"/>
      <c r="H454" s="253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  <c r="AA454" s="251"/>
      <c r="AB454" s="251"/>
      <c r="AC454" s="251"/>
      <c r="AD454" s="251"/>
      <c r="AE454" s="251"/>
      <c r="AF454" s="251"/>
      <c r="AG454" s="251"/>
      <c r="AH454" s="251"/>
      <c r="AI454" s="251"/>
      <c r="AJ454" s="251"/>
      <c r="AK454" s="251"/>
      <c r="AL454" s="251"/>
      <c r="AM454" s="251"/>
      <c r="AN454" s="251"/>
      <c r="AO454" s="251"/>
    </row>
    <row r="455" spans="2:41" x14ac:dyDescent="0.25">
      <c r="B455" s="251"/>
      <c r="C455" s="251"/>
      <c r="D455" s="251"/>
      <c r="E455" s="251"/>
      <c r="F455" s="251"/>
      <c r="G455" s="252"/>
      <c r="H455" s="253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  <c r="AA455" s="251"/>
      <c r="AB455" s="251"/>
      <c r="AC455" s="251"/>
      <c r="AD455" s="251"/>
      <c r="AE455" s="251"/>
      <c r="AF455" s="251"/>
      <c r="AG455" s="251"/>
      <c r="AH455" s="251"/>
      <c r="AI455" s="251"/>
      <c r="AJ455" s="251"/>
      <c r="AK455" s="251"/>
      <c r="AL455" s="251"/>
      <c r="AM455" s="251"/>
      <c r="AN455" s="251"/>
      <c r="AO455" s="251"/>
    </row>
    <row r="456" spans="2:41" x14ac:dyDescent="0.25">
      <c r="B456" s="251"/>
      <c r="C456" s="251"/>
      <c r="D456" s="251"/>
      <c r="E456" s="251"/>
      <c r="F456" s="251"/>
      <c r="G456" s="252"/>
      <c r="H456" s="253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  <c r="AA456" s="251"/>
      <c r="AB456" s="251"/>
      <c r="AC456" s="251"/>
      <c r="AD456" s="251"/>
      <c r="AE456" s="251"/>
      <c r="AF456" s="251"/>
      <c r="AG456" s="251"/>
      <c r="AH456" s="251"/>
      <c r="AI456" s="251"/>
      <c r="AJ456" s="251"/>
      <c r="AK456" s="251"/>
      <c r="AL456" s="251"/>
      <c r="AM456" s="251"/>
      <c r="AN456" s="251"/>
      <c r="AO456" s="251"/>
    </row>
    <row r="457" spans="2:41" x14ac:dyDescent="0.25">
      <c r="B457" s="251"/>
      <c r="C457" s="251"/>
      <c r="D457" s="251"/>
      <c r="E457" s="251"/>
      <c r="F457" s="251"/>
      <c r="G457" s="252"/>
      <c r="H457" s="253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  <c r="AA457" s="251"/>
      <c r="AB457" s="251"/>
      <c r="AC457" s="251"/>
      <c r="AD457" s="251"/>
      <c r="AE457" s="251"/>
      <c r="AF457" s="251"/>
      <c r="AG457" s="251"/>
      <c r="AH457" s="251"/>
      <c r="AI457" s="251"/>
      <c r="AJ457" s="251"/>
      <c r="AK457" s="251"/>
      <c r="AL457" s="251"/>
      <c r="AM457" s="251"/>
      <c r="AN457" s="251"/>
      <c r="AO457" s="251"/>
    </row>
    <row r="458" spans="2:41" x14ac:dyDescent="0.25">
      <c r="B458" s="251"/>
      <c r="C458" s="251"/>
      <c r="D458" s="251"/>
      <c r="E458" s="251"/>
      <c r="F458" s="251"/>
      <c r="G458" s="252"/>
      <c r="H458" s="253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  <c r="AA458" s="251"/>
      <c r="AB458" s="251"/>
      <c r="AC458" s="251"/>
      <c r="AD458" s="251"/>
      <c r="AE458" s="251"/>
      <c r="AF458" s="251"/>
      <c r="AG458" s="251"/>
      <c r="AH458" s="251"/>
      <c r="AI458" s="251"/>
      <c r="AJ458" s="251"/>
      <c r="AK458" s="251"/>
      <c r="AL458" s="251"/>
      <c r="AM458" s="251"/>
      <c r="AN458" s="251"/>
      <c r="AO458" s="251"/>
    </row>
    <row r="459" spans="2:41" x14ac:dyDescent="0.25">
      <c r="B459" s="251"/>
      <c r="C459" s="251"/>
      <c r="D459" s="251"/>
      <c r="E459" s="251"/>
      <c r="F459" s="251"/>
      <c r="G459" s="252"/>
      <c r="H459" s="253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  <c r="AA459" s="251"/>
      <c r="AB459" s="251"/>
      <c r="AC459" s="251"/>
      <c r="AD459" s="251"/>
      <c r="AE459" s="251"/>
      <c r="AF459" s="251"/>
      <c r="AG459" s="251"/>
      <c r="AH459" s="251"/>
      <c r="AI459" s="251"/>
      <c r="AJ459" s="251"/>
      <c r="AK459" s="251"/>
      <c r="AL459" s="251"/>
      <c r="AM459" s="251"/>
      <c r="AN459" s="251"/>
      <c r="AO459" s="251"/>
    </row>
    <row r="460" spans="2:41" x14ac:dyDescent="0.25">
      <c r="B460" s="251"/>
      <c r="C460" s="251"/>
      <c r="D460" s="251"/>
      <c r="E460" s="251"/>
      <c r="F460" s="251"/>
      <c r="G460" s="252"/>
      <c r="H460" s="253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  <c r="AA460" s="251"/>
      <c r="AB460" s="251"/>
      <c r="AC460" s="251"/>
      <c r="AD460" s="251"/>
      <c r="AE460" s="251"/>
      <c r="AF460" s="251"/>
      <c r="AG460" s="251"/>
      <c r="AH460" s="251"/>
      <c r="AI460" s="251"/>
      <c r="AJ460" s="251"/>
      <c r="AK460" s="251"/>
      <c r="AL460" s="251"/>
      <c r="AM460" s="251"/>
      <c r="AN460" s="251"/>
      <c r="AO460" s="251"/>
    </row>
    <row r="461" spans="2:41" x14ac:dyDescent="0.25">
      <c r="B461" s="251"/>
      <c r="C461" s="251"/>
      <c r="D461" s="251"/>
      <c r="E461" s="251"/>
      <c r="F461" s="251"/>
      <c r="G461" s="252"/>
      <c r="H461" s="253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  <c r="AA461" s="251"/>
      <c r="AB461" s="251"/>
      <c r="AC461" s="251"/>
      <c r="AD461" s="251"/>
      <c r="AE461" s="251"/>
      <c r="AF461" s="251"/>
      <c r="AG461" s="251"/>
      <c r="AH461" s="251"/>
      <c r="AI461" s="251"/>
      <c r="AJ461" s="251"/>
      <c r="AK461" s="251"/>
      <c r="AL461" s="251"/>
      <c r="AM461" s="251"/>
      <c r="AN461" s="251"/>
      <c r="AO461" s="251"/>
    </row>
    <row r="462" spans="2:41" x14ac:dyDescent="0.25">
      <c r="B462" s="251"/>
      <c r="C462" s="251"/>
      <c r="D462" s="251"/>
      <c r="E462" s="251"/>
      <c r="F462" s="251"/>
      <c r="G462" s="252"/>
      <c r="H462" s="253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  <c r="AA462" s="251"/>
      <c r="AB462" s="251"/>
      <c r="AC462" s="251"/>
      <c r="AD462" s="251"/>
      <c r="AE462" s="251"/>
      <c r="AF462" s="251"/>
      <c r="AG462" s="251"/>
      <c r="AH462" s="251"/>
      <c r="AI462" s="251"/>
      <c r="AJ462" s="251"/>
      <c r="AK462" s="251"/>
      <c r="AL462" s="251"/>
      <c r="AM462" s="251"/>
      <c r="AN462" s="251"/>
      <c r="AO462" s="251"/>
    </row>
    <row r="463" spans="2:41" x14ac:dyDescent="0.25">
      <c r="B463" s="251"/>
      <c r="C463" s="251"/>
      <c r="D463" s="251"/>
      <c r="E463" s="251"/>
      <c r="F463" s="251"/>
      <c r="G463" s="252"/>
      <c r="H463" s="253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  <c r="AA463" s="251"/>
      <c r="AB463" s="251"/>
      <c r="AC463" s="251"/>
      <c r="AD463" s="251"/>
      <c r="AE463" s="251"/>
      <c r="AF463" s="251"/>
      <c r="AG463" s="251"/>
      <c r="AH463" s="251"/>
      <c r="AI463" s="251"/>
      <c r="AJ463" s="251"/>
      <c r="AK463" s="251"/>
      <c r="AL463" s="251"/>
      <c r="AM463" s="251"/>
      <c r="AN463" s="251"/>
      <c r="AO463" s="251"/>
    </row>
    <row r="464" spans="2:41" x14ac:dyDescent="0.25">
      <c r="B464" s="251"/>
      <c r="C464" s="251"/>
      <c r="D464" s="251"/>
      <c r="E464" s="251"/>
      <c r="F464" s="251"/>
      <c r="G464" s="252"/>
      <c r="H464" s="253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  <c r="AA464" s="251"/>
      <c r="AB464" s="251"/>
      <c r="AC464" s="251"/>
      <c r="AD464" s="251"/>
      <c r="AE464" s="251"/>
      <c r="AF464" s="251"/>
      <c r="AG464" s="251"/>
      <c r="AH464" s="251"/>
      <c r="AI464" s="251"/>
      <c r="AJ464" s="251"/>
      <c r="AK464" s="251"/>
      <c r="AL464" s="251"/>
      <c r="AM464" s="251"/>
      <c r="AN464" s="251"/>
      <c r="AO464" s="251"/>
    </row>
    <row r="465" spans="2:41" x14ac:dyDescent="0.25">
      <c r="B465" s="251"/>
      <c r="C465" s="251"/>
      <c r="D465" s="251"/>
      <c r="E465" s="251"/>
      <c r="F465" s="251"/>
      <c r="G465" s="252"/>
      <c r="H465" s="253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  <c r="AA465" s="251"/>
      <c r="AB465" s="251"/>
      <c r="AC465" s="251"/>
      <c r="AD465" s="251"/>
      <c r="AE465" s="251"/>
      <c r="AF465" s="251"/>
      <c r="AG465" s="251"/>
      <c r="AH465" s="251"/>
      <c r="AI465" s="251"/>
      <c r="AJ465" s="251"/>
      <c r="AK465" s="251"/>
      <c r="AL465" s="251"/>
      <c r="AM465" s="251"/>
      <c r="AN465" s="251"/>
      <c r="AO465" s="251"/>
    </row>
    <row r="466" spans="2:41" x14ac:dyDescent="0.25">
      <c r="B466" s="251"/>
      <c r="C466" s="251"/>
      <c r="D466" s="251"/>
      <c r="E466" s="251"/>
      <c r="F466" s="251"/>
      <c r="G466" s="252"/>
      <c r="H466" s="253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  <c r="AA466" s="251"/>
      <c r="AB466" s="251"/>
      <c r="AC466" s="251"/>
      <c r="AD466" s="251"/>
      <c r="AE466" s="251"/>
      <c r="AF466" s="251"/>
      <c r="AG466" s="251"/>
      <c r="AH466" s="251"/>
      <c r="AI466" s="251"/>
      <c r="AJ466" s="251"/>
      <c r="AK466" s="251"/>
      <c r="AL466" s="251"/>
      <c r="AM466" s="251"/>
      <c r="AN466" s="251"/>
      <c r="AO466" s="251"/>
    </row>
    <row r="467" spans="2:41" x14ac:dyDescent="0.25">
      <c r="B467" s="251"/>
      <c r="C467" s="251"/>
      <c r="D467" s="251"/>
      <c r="E467" s="251"/>
      <c r="F467" s="251"/>
      <c r="G467" s="252"/>
      <c r="H467" s="253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  <c r="AA467" s="251"/>
      <c r="AB467" s="251"/>
      <c r="AC467" s="251"/>
      <c r="AD467" s="251"/>
      <c r="AE467" s="251"/>
      <c r="AF467" s="251"/>
      <c r="AG467" s="251"/>
      <c r="AH467" s="251"/>
      <c r="AI467" s="251"/>
      <c r="AJ467" s="251"/>
      <c r="AK467" s="251"/>
      <c r="AL467" s="251"/>
      <c r="AM467" s="251"/>
      <c r="AN467" s="251"/>
      <c r="AO467" s="251"/>
    </row>
    <row r="468" spans="2:41" x14ac:dyDescent="0.25">
      <c r="B468" s="251"/>
      <c r="C468" s="251"/>
      <c r="D468" s="251"/>
      <c r="E468" s="251"/>
      <c r="F468" s="251"/>
      <c r="G468" s="252"/>
      <c r="H468" s="253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  <c r="AA468" s="251"/>
      <c r="AB468" s="251"/>
      <c r="AC468" s="251"/>
      <c r="AD468" s="251"/>
      <c r="AE468" s="251"/>
      <c r="AF468" s="251"/>
      <c r="AG468" s="251"/>
      <c r="AH468" s="251"/>
      <c r="AI468" s="251"/>
      <c r="AJ468" s="251"/>
      <c r="AK468" s="251"/>
      <c r="AL468" s="251"/>
      <c r="AM468" s="251"/>
      <c r="AN468" s="251"/>
      <c r="AO468" s="251"/>
    </row>
    <row r="469" spans="2:41" x14ac:dyDescent="0.25">
      <c r="B469" s="251"/>
      <c r="C469" s="251"/>
      <c r="D469" s="251"/>
      <c r="E469" s="251"/>
      <c r="F469" s="251"/>
      <c r="G469" s="252"/>
      <c r="H469" s="253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  <c r="AA469" s="251"/>
      <c r="AB469" s="251"/>
      <c r="AC469" s="251"/>
      <c r="AD469" s="251"/>
      <c r="AE469" s="251"/>
      <c r="AF469" s="251"/>
      <c r="AG469" s="251"/>
      <c r="AH469" s="251"/>
      <c r="AI469" s="251"/>
      <c r="AJ469" s="251"/>
      <c r="AK469" s="251"/>
      <c r="AL469" s="251"/>
      <c r="AM469" s="251"/>
      <c r="AN469" s="251"/>
      <c r="AO469" s="251"/>
    </row>
    <row r="470" spans="2:41" x14ac:dyDescent="0.25">
      <c r="B470" s="251"/>
      <c r="C470" s="251"/>
      <c r="D470" s="251"/>
      <c r="E470" s="251"/>
      <c r="F470" s="251"/>
      <c r="G470" s="252"/>
      <c r="H470" s="253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  <c r="AA470" s="251"/>
      <c r="AB470" s="251"/>
      <c r="AC470" s="251"/>
      <c r="AD470" s="251"/>
      <c r="AE470" s="251"/>
      <c r="AF470" s="251"/>
      <c r="AG470" s="251"/>
      <c r="AH470" s="251"/>
      <c r="AI470" s="251"/>
      <c r="AJ470" s="251"/>
      <c r="AK470" s="251"/>
      <c r="AL470" s="251"/>
      <c r="AM470" s="251"/>
      <c r="AN470" s="251"/>
      <c r="AO470" s="251"/>
    </row>
    <row r="471" spans="2:41" x14ac:dyDescent="0.25">
      <c r="B471" s="251"/>
      <c r="C471" s="251"/>
      <c r="D471" s="251"/>
      <c r="E471" s="251"/>
      <c r="F471" s="251"/>
      <c r="G471" s="252"/>
      <c r="H471" s="253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  <c r="AA471" s="251"/>
      <c r="AB471" s="251"/>
      <c r="AC471" s="251"/>
      <c r="AD471" s="251"/>
      <c r="AE471" s="251"/>
      <c r="AF471" s="251"/>
      <c r="AG471" s="251"/>
      <c r="AH471" s="251"/>
      <c r="AI471" s="251"/>
      <c r="AJ471" s="251"/>
      <c r="AK471" s="251"/>
      <c r="AL471" s="251"/>
      <c r="AM471" s="251"/>
      <c r="AN471" s="251"/>
      <c r="AO471" s="251"/>
    </row>
    <row r="472" spans="2:41" x14ac:dyDescent="0.25">
      <c r="B472" s="251"/>
      <c r="C472" s="251"/>
      <c r="D472" s="251"/>
      <c r="E472" s="251"/>
      <c r="F472" s="251"/>
      <c r="G472" s="252"/>
      <c r="H472" s="253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1"/>
      <c r="AG472" s="251"/>
      <c r="AH472" s="251"/>
      <c r="AI472" s="251"/>
      <c r="AJ472" s="251"/>
      <c r="AK472" s="251"/>
      <c r="AL472" s="251"/>
      <c r="AM472" s="251"/>
      <c r="AN472" s="251"/>
      <c r="AO472" s="251"/>
    </row>
    <row r="473" spans="2:41" x14ac:dyDescent="0.25">
      <c r="B473" s="251"/>
      <c r="C473" s="251"/>
      <c r="D473" s="251"/>
      <c r="E473" s="251"/>
      <c r="F473" s="251"/>
      <c r="G473" s="252"/>
      <c r="H473" s="253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  <c r="AA473" s="251"/>
      <c r="AB473" s="251"/>
      <c r="AC473" s="251"/>
      <c r="AD473" s="251"/>
      <c r="AE473" s="251"/>
      <c r="AF473" s="251"/>
      <c r="AG473" s="251"/>
      <c r="AH473" s="251"/>
      <c r="AI473" s="251"/>
      <c r="AJ473" s="251"/>
      <c r="AK473" s="251"/>
      <c r="AL473" s="251"/>
      <c r="AM473" s="251"/>
      <c r="AN473" s="251"/>
      <c r="AO473" s="251"/>
    </row>
    <row r="474" spans="2:41" x14ac:dyDescent="0.25">
      <c r="B474" s="251"/>
      <c r="C474" s="251"/>
      <c r="D474" s="251"/>
      <c r="E474" s="251"/>
      <c r="F474" s="251"/>
      <c r="G474" s="252"/>
      <c r="H474" s="253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  <c r="AA474" s="251"/>
      <c r="AB474" s="251"/>
      <c r="AC474" s="251"/>
      <c r="AD474" s="251"/>
      <c r="AE474" s="251"/>
      <c r="AF474" s="251"/>
      <c r="AG474" s="251"/>
      <c r="AH474" s="251"/>
      <c r="AI474" s="251"/>
      <c r="AJ474" s="251"/>
      <c r="AK474" s="251"/>
      <c r="AL474" s="251"/>
      <c r="AM474" s="251"/>
      <c r="AN474" s="251"/>
      <c r="AO474" s="251"/>
    </row>
    <row r="475" spans="2:41" x14ac:dyDescent="0.25">
      <c r="B475" s="251"/>
      <c r="C475" s="251"/>
      <c r="D475" s="251"/>
      <c r="E475" s="251"/>
      <c r="F475" s="251"/>
      <c r="G475" s="252"/>
      <c r="H475" s="253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  <c r="AA475" s="251"/>
      <c r="AB475" s="251"/>
      <c r="AC475" s="251"/>
      <c r="AD475" s="251"/>
      <c r="AE475" s="251"/>
      <c r="AF475" s="251"/>
      <c r="AG475" s="251"/>
      <c r="AH475" s="251"/>
      <c r="AI475" s="251"/>
      <c r="AJ475" s="251"/>
      <c r="AK475" s="251"/>
      <c r="AL475" s="251"/>
      <c r="AM475" s="251"/>
      <c r="AN475" s="251"/>
      <c r="AO475" s="251"/>
    </row>
    <row r="476" spans="2:41" x14ac:dyDescent="0.25">
      <c r="B476" s="251"/>
      <c r="C476" s="251"/>
      <c r="D476" s="251"/>
      <c r="E476" s="251"/>
      <c r="F476" s="251"/>
      <c r="G476" s="252"/>
      <c r="H476" s="253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  <c r="AA476" s="251"/>
      <c r="AB476" s="251"/>
      <c r="AC476" s="251"/>
      <c r="AD476" s="251"/>
      <c r="AE476" s="251"/>
      <c r="AF476" s="251"/>
      <c r="AG476" s="251"/>
      <c r="AH476" s="251"/>
      <c r="AI476" s="251"/>
      <c r="AJ476" s="251"/>
      <c r="AK476" s="251"/>
      <c r="AL476" s="251"/>
      <c r="AM476" s="251"/>
      <c r="AN476" s="251"/>
      <c r="AO476" s="251"/>
    </row>
    <row r="477" spans="2:41" x14ac:dyDescent="0.25">
      <c r="B477" s="251"/>
      <c r="C477" s="251"/>
      <c r="D477" s="251"/>
      <c r="E477" s="251"/>
      <c r="F477" s="251"/>
      <c r="G477" s="252"/>
      <c r="H477" s="253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  <c r="AA477" s="251"/>
      <c r="AB477" s="251"/>
      <c r="AC477" s="251"/>
      <c r="AD477" s="251"/>
      <c r="AE477" s="251"/>
      <c r="AF477" s="251"/>
      <c r="AG477" s="251"/>
      <c r="AH477" s="251"/>
      <c r="AI477" s="251"/>
      <c r="AJ477" s="251"/>
      <c r="AK477" s="251"/>
      <c r="AL477" s="251"/>
      <c r="AM477" s="251"/>
      <c r="AN477" s="251"/>
      <c r="AO477" s="251"/>
    </row>
    <row r="478" spans="2:41" x14ac:dyDescent="0.25">
      <c r="B478" s="251"/>
      <c r="C478" s="251"/>
      <c r="D478" s="251"/>
      <c r="E478" s="251"/>
      <c r="F478" s="251"/>
      <c r="G478" s="252"/>
      <c r="H478" s="253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  <c r="AA478" s="251"/>
      <c r="AB478" s="251"/>
      <c r="AC478" s="251"/>
      <c r="AD478" s="251"/>
      <c r="AE478" s="251"/>
      <c r="AF478" s="251"/>
      <c r="AG478" s="251"/>
      <c r="AH478" s="251"/>
      <c r="AI478" s="251"/>
      <c r="AJ478" s="251"/>
      <c r="AK478" s="251"/>
      <c r="AL478" s="251"/>
      <c r="AM478" s="251"/>
      <c r="AN478" s="251"/>
      <c r="AO478" s="251"/>
    </row>
    <row r="479" spans="2:41" x14ac:dyDescent="0.25">
      <c r="B479" s="251"/>
      <c r="C479" s="251"/>
      <c r="D479" s="251"/>
      <c r="E479" s="251"/>
      <c r="F479" s="251"/>
      <c r="G479" s="252"/>
      <c r="H479" s="253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  <c r="AA479" s="251"/>
      <c r="AB479" s="251"/>
      <c r="AC479" s="251"/>
      <c r="AD479" s="251"/>
      <c r="AE479" s="251"/>
      <c r="AF479" s="251"/>
      <c r="AG479" s="251"/>
      <c r="AH479" s="251"/>
      <c r="AI479" s="251"/>
      <c r="AJ479" s="251"/>
      <c r="AK479" s="251"/>
      <c r="AL479" s="251"/>
      <c r="AM479" s="251"/>
      <c r="AN479" s="251"/>
      <c r="AO479" s="251"/>
    </row>
    <row r="480" spans="2:41" x14ac:dyDescent="0.25">
      <c r="B480" s="251"/>
      <c r="C480" s="251"/>
      <c r="D480" s="251"/>
      <c r="E480" s="251"/>
      <c r="F480" s="251"/>
      <c r="G480" s="252"/>
      <c r="H480" s="253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  <c r="AA480" s="251"/>
      <c r="AB480" s="251"/>
      <c r="AC480" s="251"/>
      <c r="AD480" s="251"/>
      <c r="AE480" s="251"/>
      <c r="AF480" s="251"/>
      <c r="AG480" s="251"/>
      <c r="AH480" s="251"/>
      <c r="AI480" s="251"/>
      <c r="AJ480" s="251"/>
      <c r="AK480" s="251"/>
      <c r="AL480" s="251"/>
      <c r="AM480" s="251"/>
      <c r="AN480" s="251"/>
      <c r="AO480" s="251"/>
    </row>
    <row r="481" spans="2:41" x14ac:dyDescent="0.25">
      <c r="B481" s="251"/>
      <c r="C481" s="251"/>
      <c r="D481" s="251"/>
      <c r="E481" s="251"/>
      <c r="F481" s="251"/>
      <c r="G481" s="252"/>
      <c r="H481" s="253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  <c r="AA481" s="251"/>
      <c r="AB481" s="251"/>
      <c r="AC481" s="251"/>
      <c r="AD481" s="251"/>
      <c r="AE481" s="251"/>
      <c r="AF481" s="251"/>
      <c r="AG481" s="251"/>
      <c r="AH481" s="251"/>
      <c r="AI481" s="251"/>
      <c r="AJ481" s="251"/>
      <c r="AK481" s="251"/>
      <c r="AL481" s="251"/>
      <c r="AM481" s="251"/>
      <c r="AN481" s="251"/>
      <c r="AO481" s="251"/>
    </row>
    <row r="482" spans="2:41" x14ac:dyDescent="0.25">
      <c r="B482" s="251"/>
      <c r="C482" s="251"/>
      <c r="D482" s="251"/>
      <c r="E482" s="251"/>
      <c r="F482" s="251"/>
      <c r="G482" s="252"/>
      <c r="H482" s="253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  <c r="AA482" s="251"/>
      <c r="AB482" s="251"/>
      <c r="AC482" s="251"/>
      <c r="AD482" s="251"/>
      <c r="AE482" s="251"/>
      <c r="AF482" s="251"/>
      <c r="AG482" s="251"/>
      <c r="AH482" s="251"/>
      <c r="AI482" s="251"/>
      <c r="AJ482" s="251"/>
      <c r="AK482" s="251"/>
      <c r="AL482" s="251"/>
      <c r="AM482" s="251"/>
      <c r="AN482" s="251"/>
      <c r="AO482" s="251"/>
    </row>
    <row r="483" spans="2:41" x14ac:dyDescent="0.25">
      <c r="B483" s="251"/>
      <c r="C483" s="251"/>
      <c r="D483" s="251"/>
      <c r="E483" s="251"/>
      <c r="F483" s="251"/>
      <c r="G483" s="252"/>
      <c r="H483" s="253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  <c r="AA483" s="251"/>
      <c r="AB483" s="251"/>
      <c r="AC483" s="251"/>
      <c r="AD483" s="251"/>
      <c r="AE483" s="251"/>
      <c r="AF483" s="251"/>
      <c r="AG483" s="251"/>
      <c r="AH483" s="251"/>
      <c r="AI483" s="251"/>
      <c r="AJ483" s="251"/>
      <c r="AK483" s="251"/>
      <c r="AL483" s="251"/>
      <c r="AM483" s="251"/>
      <c r="AN483" s="251"/>
      <c r="AO483" s="251"/>
    </row>
    <row r="484" spans="2:41" x14ac:dyDescent="0.25">
      <c r="B484" s="251"/>
      <c r="C484" s="251"/>
      <c r="D484" s="251"/>
      <c r="E484" s="251"/>
      <c r="F484" s="251"/>
      <c r="G484" s="252"/>
      <c r="H484" s="253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  <c r="AA484" s="251"/>
      <c r="AB484" s="251"/>
      <c r="AC484" s="251"/>
      <c r="AD484" s="251"/>
      <c r="AE484" s="251"/>
      <c r="AF484" s="251"/>
      <c r="AG484" s="251"/>
      <c r="AH484" s="251"/>
      <c r="AI484" s="251"/>
      <c r="AJ484" s="251"/>
      <c r="AK484" s="251"/>
      <c r="AL484" s="251"/>
      <c r="AM484" s="251"/>
      <c r="AN484" s="251"/>
      <c r="AO484" s="251"/>
    </row>
    <row r="485" spans="2:41" x14ac:dyDescent="0.25">
      <c r="B485" s="251"/>
      <c r="C485" s="251"/>
      <c r="D485" s="251"/>
      <c r="E485" s="251"/>
      <c r="F485" s="251"/>
      <c r="G485" s="252"/>
      <c r="H485" s="253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  <c r="AA485" s="251"/>
      <c r="AB485" s="251"/>
      <c r="AC485" s="251"/>
      <c r="AD485" s="251"/>
      <c r="AE485" s="251"/>
      <c r="AF485" s="251"/>
      <c r="AG485" s="251"/>
      <c r="AH485" s="251"/>
      <c r="AI485" s="251"/>
      <c r="AJ485" s="251"/>
      <c r="AK485" s="251"/>
      <c r="AL485" s="251"/>
      <c r="AM485" s="251"/>
      <c r="AN485" s="251"/>
      <c r="AO485" s="251"/>
    </row>
    <row r="486" spans="2:41" x14ac:dyDescent="0.25">
      <c r="B486" s="251"/>
      <c r="C486" s="251"/>
      <c r="D486" s="251"/>
      <c r="E486" s="251"/>
      <c r="F486" s="251"/>
      <c r="G486" s="252"/>
      <c r="H486" s="253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  <c r="AA486" s="251"/>
      <c r="AB486" s="251"/>
      <c r="AC486" s="251"/>
      <c r="AD486" s="251"/>
      <c r="AE486" s="251"/>
      <c r="AF486" s="251"/>
      <c r="AG486" s="251"/>
      <c r="AH486" s="251"/>
      <c r="AI486" s="251"/>
      <c r="AJ486" s="251"/>
      <c r="AK486" s="251"/>
      <c r="AL486" s="251"/>
      <c r="AM486" s="251"/>
      <c r="AN486" s="251"/>
      <c r="AO486" s="251"/>
    </row>
    <row r="487" spans="2:41" x14ac:dyDescent="0.25">
      <c r="B487" s="251"/>
      <c r="C487" s="251"/>
      <c r="D487" s="251"/>
      <c r="E487" s="251"/>
      <c r="F487" s="251"/>
      <c r="G487" s="252"/>
      <c r="H487" s="253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  <c r="AA487" s="251"/>
      <c r="AB487" s="251"/>
      <c r="AC487" s="251"/>
      <c r="AD487" s="251"/>
      <c r="AE487" s="251"/>
      <c r="AF487" s="251"/>
      <c r="AG487" s="251"/>
      <c r="AH487" s="251"/>
      <c r="AI487" s="251"/>
      <c r="AJ487" s="251"/>
      <c r="AK487" s="251"/>
      <c r="AL487" s="251"/>
      <c r="AM487" s="251"/>
      <c r="AN487" s="251"/>
      <c r="AO487" s="251"/>
    </row>
    <row r="488" spans="2:41" x14ac:dyDescent="0.25">
      <c r="B488" s="251"/>
      <c r="C488" s="251"/>
      <c r="D488" s="251"/>
      <c r="E488" s="251"/>
      <c r="F488" s="251"/>
      <c r="G488" s="252"/>
      <c r="H488" s="253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  <c r="AA488" s="251"/>
      <c r="AB488" s="251"/>
      <c r="AC488" s="251"/>
      <c r="AD488" s="251"/>
      <c r="AE488" s="251"/>
      <c r="AF488" s="251"/>
      <c r="AG488" s="251"/>
      <c r="AH488" s="251"/>
      <c r="AI488" s="251"/>
      <c r="AJ488" s="251"/>
      <c r="AK488" s="251"/>
      <c r="AL488" s="251"/>
      <c r="AM488" s="251"/>
      <c r="AN488" s="251"/>
      <c r="AO488" s="251"/>
    </row>
    <row r="489" spans="2:41" x14ac:dyDescent="0.25">
      <c r="B489" s="251"/>
      <c r="C489" s="251"/>
      <c r="D489" s="251"/>
      <c r="E489" s="251"/>
      <c r="F489" s="251"/>
      <c r="G489" s="252"/>
      <c r="H489" s="253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  <c r="AA489" s="251"/>
      <c r="AB489" s="251"/>
      <c r="AC489" s="251"/>
      <c r="AD489" s="251"/>
      <c r="AE489" s="251"/>
      <c r="AF489" s="251"/>
      <c r="AG489" s="251"/>
      <c r="AH489" s="251"/>
      <c r="AI489" s="251"/>
      <c r="AJ489" s="251"/>
      <c r="AK489" s="251"/>
      <c r="AL489" s="251"/>
      <c r="AM489" s="251"/>
      <c r="AN489" s="251"/>
      <c r="AO489" s="251"/>
    </row>
    <row r="490" spans="2:41" x14ac:dyDescent="0.25">
      <c r="B490" s="251"/>
      <c r="C490" s="251"/>
      <c r="D490" s="251"/>
      <c r="E490" s="251"/>
      <c r="F490" s="251"/>
      <c r="G490" s="252"/>
      <c r="H490" s="253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  <c r="AA490" s="251"/>
      <c r="AB490" s="251"/>
      <c r="AC490" s="251"/>
      <c r="AD490" s="251"/>
      <c r="AE490" s="251"/>
      <c r="AF490" s="251"/>
      <c r="AG490" s="251"/>
      <c r="AH490" s="251"/>
      <c r="AI490" s="251"/>
      <c r="AJ490" s="251"/>
      <c r="AK490" s="251"/>
      <c r="AL490" s="251"/>
      <c r="AM490" s="251"/>
      <c r="AN490" s="251"/>
      <c r="AO490" s="251"/>
    </row>
    <row r="491" spans="2:41" x14ac:dyDescent="0.25">
      <c r="B491" s="251"/>
      <c r="C491" s="251"/>
      <c r="D491" s="251"/>
      <c r="E491" s="251"/>
      <c r="F491" s="251"/>
      <c r="G491" s="252"/>
      <c r="H491" s="253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  <c r="AA491" s="251"/>
      <c r="AB491" s="251"/>
      <c r="AC491" s="251"/>
      <c r="AD491" s="251"/>
      <c r="AE491" s="251"/>
      <c r="AF491" s="251"/>
      <c r="AG491" s="251"/>
      <c r="AH491" s="251"/>
      <c r="AI491" s="251"/>
      <c r="AJ491" s="251"/>
      <c r="AK491" s="251"/>
      <c r="AL491" s="251"/>
      <c r="AM491" s="251"/>
      <c r="AN491" s="251"/>
      <c r="AO491" s="251"/>
    </row>
    <row r="492" spans="2:41" x14ac:dyDescent="0.25">
      <c r="B492" s="251"/>
      <c r="C492" s="251"/>
      <c r="D492" s="251"/>
      <c r="E492" s="251"/>
      <c r="F492" s="251"/>
      <c r="G492" s="252"/>
      <c r="H492" s="253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  <c r="AA492" s="251"/>
      <c r="AB492" s="251"/>
      <c r="AC492" s="251"/>
      <c r="AD492" s="251"/>
      <c r="AE492" s="251"/>
      <c r="AF492" s="251"/>
      <c r="AG492" s="251"/>
      <c r="AH492" s="251"/>
      <c r="AI492" s="251"/>
      <c r="AJ492" s="251"/>
      <c r="AK492" s="251"/>
      <c r="AL492" s="251"/>
      <c r="AM492" s="251"/>
      <c r="AN492" s="251"/>
      <c r="AO492" s="251"/>
    </row>
    <row r="493" spans="2:41" x14ac:dyDescent="0.25">
      <c r="B493" s="251"/>
      <c r="C493" s="251"/>
      <c r="D493" s="251"/>
      <c r="E493" s="251"/>
      <c r="F493" s="251"/>
      <c r="G493" s="252"/>
      <c r="H493" s="253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  <c r="AA493" s="251"/>
      <c r="AB493" s="251"/>
      <c r="AC493" s="251"/>
      <c r="AD493" s="251"/>
      <c r="AE493" s="251"/>
      <c r="AF493" s="251"/>
      <c r="AG493" s="251"/>
      <c r="AH493" s="251"/>
      <c r="AI493" s="251"/>
      <c r="AJ493" s="251"/>
      <c r="AK493" s="251"/>
      <c r="AL493" s="251"/>
      <c r="AM493" s="251"/>
      <c r="AN493" s="251"/>
      <c r="AO493" s="251"/>
    </row>
    <row r="494" spans="2:41" x14ac:dyDescent="0.25">
      <c r="B494" s="251"/>
      <c r="C494" s="251"/>
      <c r="D494" s="251"/>
      <c r="E494" s="251"/>
      <c r="F494" s="251"/>
      <c r="G494" s="252"/>
      <c r="H494" s="253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  <c r="AA494" s="251"/>
      <c r="AB494" s="251"/>
      <c r="AC494" s="251"/>
      <c r="AD494" s="251"/>
      <c r="AE494" s="251"/>
      <c r="AF494" s="251"/>
      <c r="AG494" s="251"/>
      <c r="AH494" s="251"/>
      <c r="AI494" s="251"/>
      <c r="AJ494" s="251"/>
      <c r="AK494" s="251"/>
      <c r="AL494" s="251"/>
      <c r="AM494" s="251"/>
      <c r="AN494" s="251"/>
      <c r="AO494" s="251"/>
    </row>
    <row r="495" spans="2:41" x14ac:dyDescent="0.25">
      <c r="B495" s="251"/>
      <c r="C495" s="251"/>
      <c r="D495" s="251"/>
      <c r="E495" s="251"/>
      <c r="F495" s="251"/>
      <c r="G495" s="252"/>
      <c r="H495" s="253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  <c r="AA495" s="251"/>
      <c r="AB495" s="251"/>
      <c r="AC495" s="251"/>
      <c r="AD495" s="251"/>
      <c r="AE495" s="251"/>
      <c r="AF495" s="251"/>
      <c r="AG495" s="251"/>
      <c r="AH495" s="251"/>
      <c r="AI495" s="251"/>
      <c r="AJ495" s="251"/>
      <c r="AK495" s="251"/>
      <c r="AL495" s="251"/>
      <c r="AM495" s="251"/>
      <c r="AN495" s="251"/>
      <c r="AO495" s="251"/>
    </row>
    <row r="496" spans="2:41" x14ac:dyDescent="0.25">
      <c r="B496" s="251"/>
      <c r="C496" s="251"/>
      <c r="D496" s="251"/>
      <c r="E496" s="251"/>
      <c r="F496" s="251"/>
      <c r="G496" s="252"/>
      <c r="H496" s="253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  <c r="AA496" s="251"/>
      <c r="AB496" s="251"/>
      <c r="AC496" s="251"/>
      <c r="AD496" s="251"/>
      <c r="AE496" s="251"/>
      <c r="AF496" s="251"/>
      <c r="AG496" s="251"/>
      <c r="AH496" s="251"/>
      <c r="AI496" s="251"/>
      <c r="AJ496" s="251"/>
      <c r="AK496" s="251"/>
      <c r="AL496" s="251"/>
      <c r="AM496" s="251"/>
      <c r="AN496" s="251"/>
      <c r="AO496" s="251"/>
    </row>
    <row r="497" spans="2:41" x14ac:dyDescent="0.25">
      <c r="B497" s="251"/>
      <c r="C497" s="251"/>
      <c r="D497" s="251"/>
      <c r="E497" s="251"/>
      <c r="F497" s="251"/>
      <c r="G497" s="252"/>
      <c r="H497" s="253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  <c r="AA497" s="251"/>
      <c r="AB497" s="251"/>
      <c r="AC497" s="251"/>
      <c r="AD497" s="251"/>
      <c r="AE497" s="251"/>
      <c r="AF497" s="251"/>
      <c r="AG497" s="251"/>
      <c r="AH497" s="251"/>
      <c r="AI497" s="251"/>
      <c r="AJ497" s="251"/>
      <c r="AK497" s="251"/>
      <c r="AL497" s="251"/>
      <c r="AM497" s="251"/>
      <c r="AN497" s="251"/>
      <c r="AO497" s="251"/>
    </row>
    <row r="498" spans="2:41" x14ac:dyDescent="0.25">
      <c r="B498" s="251"/>
      <c r="C498" s="251"/>
      <c r="D498" s="251"/>
      <c r="E498" s="251"/>
      <c r="F498" s="251"/>
      <c r="G498" s="252"/>
      <c r="H498" s="253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  <c r="AA498" s="251"/>
      <c r="AB498" s="251"/>
      <c r="AC498" s="251"/>
      <c r="AD498" s="251"/>
      <c r="AE498" s="251"/>
      <c r="AF498" s="251"/>
      <c r="AG498" s="251"/>
      <c r="AH498" s="251"/>
      <c r="AI498" s="251"/>
      <c r="AJ498" s="251"/>
      <c r="AK498" s="251"/>
      <c r="AL498" s="251"/>
      <c r="AM498" s="251"/>
      <c r="AN498" s="251"/>
      <c r="AO498" s="251"/>
    </row>
    <row r="499" spans="2:41" x14ac:dyDescent="0.25">
      <c r="B499" s="251"/>
      <c r="C499" s="251"/>
      <c r="D499" s="251"/>
      <c r="E499" s="251"/>
      <c r="F499" s="251"/>
      <c r="G499" s="252"/>
      <c r="H499" s="253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  <c r="AA499" s="251"/>
      <c r="AB499" s="251"/>
      <c r="AC499" s="251"/>
      <c r="AD499" s="251"/>
      <c r="AE499" s="251"/>
      <c r="AF499" s="251"/>
      <c r="AG499" s="251"/>
      <c r="AH499" s="251"/>
      <c r="AI499" s="251"/>
      <c r="AJ499" s="251"/>
      <c r="AK499" s="251"/>
      <c r="AL499" s="251"/>
      <c r="AM499" s="251"/>
      <c r="AN499" s="251"/>
      <c r="AO499" s="251"/>
    </row>
    <row r="500" spans="2:41" x14ac:dyDescent="0.25">
      <c r="B500" s="251"/>
      <c r="C500" s="251"/>
      <c r="D500" s="251"/>
      <c r="E500" s="251"/>
      <c r="F500" s="251"/>
      <c r="G500" s="252"/>
      <c r="H500" s="253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  <c r="AA500" s="251"/>
      <c r="AB500" s="251"/>
      <c r="AC500" s="251"/>
      <c r="AD500" s="251"/>
      <c r="AE500" s="251"/>
      <c r="AF500" s="251"/>
      <c r="AG500" s="251"/>
      <c r="AH500" s="251"/>
      <c r="AI500" s="251"/>
      <c r="AJ500" s="251"/>
      <c r="AK500" s="251"/>
      <c r="AL500" s="251"/>
      <c r="AM500" s="251"/>
      <c r="AN500" s="251"/>
      <c r="AO500" s="251"/>
    </row>
    <row r="501" spans="2:41" x14ac:dyDescent="0.25">
      <c r="B501" s="251"/>
      <c r="C501" s="251"/>
      <c r="D501" s="251"/>
      <c r="E501" s="251"/>
      <c r="F501" s="251"/>
      <c r="G501" s="252"/>
      <c r="H501" s="253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  <c r="AA501" s="251"/>
      <c r="AB501" s="251"/>
      <c r="AC501" s="251"/>
      <c r="AD501" s="251"/>
      <c r="AE501" s="251"/>
      <c r="AF501" s="251"/>
      <c r="AG501" s="251"/>
      <c r="AH501" s="251"/>
      <c r="AI501" s="251"/>
      <c r="AJ501" s="251"/>
      <c r="AK501" s="251"/>
      <c r="AL501" s="251"/>
      <c r="AM501" s="251"/>
      <c r="AN501" s="251"/>
      <c r="AO501" s="251"/>
    </row>
    <row r="502" spans="2:41" x14ac:dyDescent="0.25">
      <c r="B502" s="251"/>
      <c r="C502" s="251"/>
      <c r="D502" s="251"/>
      <c r="E502" s="251"/>
      <c r="F502" s="251"/>
      <c r="G502" s="252"/>
      <c r="H502" s="253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  <c r="AA502" s="251"/>
      <c r="AB502" s="251"/>
      <c r="AC502" s="251"/>
      <c r="AD502" s="251"/>
      <c r="AE502" s="251"/>
      <c r="AF502" s="251"/>
      <c r="AG502" s="251"/>
      <c r="AH502" s="251"/>
      <c r="AI502" s="251"/>
      <c r="AJ502" s="251"/>
      <c r="AK502" s="251"/>
      <c r="AL502" s="251"/>
      <c r="AM502" s="251"/>
      <c r="AN502" s="251"/>
      <c r="AO502" s="251"/>
    </row>
    <row r="503" spans="2:41" x14ac:dyDescent="0.25">
      <c r="B503" s="251"/>
      <c r="C503" s="251"/>
      <c r="D503" s="251"/>
      <c r="E503" s="251"/>
      <c r="F503" s="251"/>
      <c r="G503" s="252"/>
      <c r="H503" s="253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  <c r="AA503" s="251"/>
      <c r="AB503" s="251"/>
      <c r="AC503" s="251"/>
      <c r="AD503" s="251"/>
      <c r="AE503" s="251"/>
      <c r="AF503" s="251"/>
      <c r="AG503" s="251"/>
      <c r="AH503" s="251"/>
      <c r="AI503" s="251"/>
      <c r="AJ503" s="251"/>
      <c r="AK503" s="251"/>
      <c r="AL503" s="251"/>
      <c r="AM503" s="251"/>
      <c r="AN503" s="251"/>
      <c r="AO503" s="251"/>
    </row>
    <row r="504" spans="2:41" x14ac:dyDescent="0.25">
      <c r="B504" s="251"/>
      <c r="C504" s="251"/>
      <c r="D504" s="251"/>
      <c r="E504" s="251"/>
      <c r="F504" s="251"/>
      <c r="G504" s="252"/>
      <c r="H504" s="253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  <c r="AA504" s="251"/>
      <c r="AB504" s="251"/>
      <c r="AC504" s="251"/>
      <c r="AD504" s="251"/>
      <c r="AE504" s="251"/>
      <c r="AF504" s="251"/>
      <c r="AG504" s="251"/>
      <c r="AH504" s="251"/>
      <c r="AI504" s="251"/>
      <c r="AJ504" s="251"/>
      <c r="AK504" s="251"/>
      <c r="AL504" s="251"/>
      <c r="AM504" s="251"/>
      <c r="AN504" s="251"/>
      <c r="AO504" s="251"/>
    </row>
    <row r="505" spans="2:41" x14ac:dyDescent="0.25">
      <c r="B505" s="251"/>
      <c r="C505" s="251"/>
      <c r="D505" s="251"/>
      <c r="E505" s="251"/>
      <c r="F505" s="251"/>
      <c r="G505" s="252"/>
      <c r="H505" s="253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  <c r="AA505" s="251"/>
      <c r="AB505" s="251"/>
      <c r="AC505" s="251"/>
      <c r="AD505" s="251"/>
      <c r="AE505" s="251"/>
      <c r="AF505" s="251"/>
      <c r="AG505" s="251"/>
      <c r="AH505" s="251"/>
      <c r="AI505" s="251"/>
      <c r="AJ505" s="251"/>
      <c r="AK505" s="251"/>
      <c r="AL505" s="251"/>
      <c r="AM505" s="251"/>
      <c r="AN505" s="251"/>
      <c r="AO505" s="251"/>
    </row>
    <row r="506" spans="2:41" x14ac:dyDescent="0.25">
      <c r="B506" s="251"/>
      <c r="C506" s="251"/>
      <c r="D506" s="251"/>
      <c r="E506" s="251"/>
      <c r="F506" s="251"/>
      <c r="G506" s="252"/>
      <c r="H506" s="253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  <c r="AA506" s="251"/>
      <c r="AB506" s="251"/>
      <c r="AC506" s="251"/>
      <c r="AD506" s="251"/>
      <c r="AE506" s="251"/>
      <c r="AF506" s="251"/>
      <c r="AG506" s="251"/>
      <c r="AH506" s="251"/>
      <c r="AI506" s="251"/>
      <c r="AJ506" s="251"/>
      <c r="AK506" s="251"/>
      <c r="AL506" s="251"/>
      <c r="AM506" s="251"/>
      <c r="AN506" s="251"/>
      <c r="AO506" s="251"/>
    </row>
    <row r="507" spans="2:41" x14ac:dyDescent="0.25">
      <c r="B507" s="251"/>
      <c r="C507" s="251"/>
      <c r="D507" s="251"/>
      <c r="E507" s="251"/>
      <c r="F507" s="251"/>
      <c r="G507" s="252"/>
      <c r="H507" s="253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  <c r="AA507" s="251"/>
      <c r="AB507" s="251"/>
      <c r="AC507" s="251"/>
      <c r="AD507" s="251"/>
      <c r="AE507" s="251"/>
      <c r="AF507" s="251"/>
      <c r="AG507" s="251"/>
      <c r="AH507" s="251"/>
      <c r="AI507" s="251"/>
      <c r="AJ507" s="251"/>
      <c r="AK507" s="251"/>
      <c r="AL507" s="251"/>
      <c r="AM507" s="251"/>
      <c r="AN507" s="251"/>
      <c r="AO507" s="251"/>
    </row>
    <row r="508" spans="2:41" x14ac:dyDescent="0.25">
      <c r="B508" s="251"/>
      <c r="C508" s="251"/>
      <c r="D508" s="251"/>
      <c r="E508" s="251"/>
      <c r="F508" s="251"/>
      <c r="G508" s="252"/>
      <c r="H508" s="253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  <c r="AA508" s="251"/>
      <c r="AB508" s="251"/>
      <c r="AC508" s="251"/>
      <c r="AD508" s="251"/>
      <c r="AE508" s="251"/>
      <c r="AF508" s="251"/>
      <c r="AG508" s="251"/>
      <c r="AH508" s="251"/>
      <c r="AI508" s="251"/>
      <c r="AJ508" s="251"/>
      <c r="AK508" s="251"/>
      <c r="AL508" s="251"/>
      <c r="AM508" s="251"/>
      <c r="AN508" s="251"/>
      <c r="AO508" s="251"/>
    </row>
    <row r="509" spans="2:41" x14ac:dyDescent="0.25">
      <c r="B509" s="251"/>
      <c r="C509" s="251"/>
      <c r="D509" s="251"/>
      <c r="E509" s="251"/>
      <c r="F509" s="251"/>
      <c r="G509" s="252"/>
      <c r="H509" s="253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  <c r="AA509" s="251"/>
      <c r="AB509" s="251"/>
      <c r="AC509" s="251"/>
      <c r="AD509" s="251"/>
      <c r="AE509" s="251"/>
      <c r="AF509" s="251"/>
      <c r="AG509" s="251"/>
      <c r="AH509" s="251"/>
      <c r="AI509" s="251"/>
      <c r="AJ509" s="251"/>
      <c r="AK509" s="251"/>
      <c r="AL509" s="251"/>
      <c r="AM509" s="251"/>
      <c r="AN509" s="251"/>
      <c r="AO509" s="251"/>
    </row>
    <row r="510" spans="2:41" x14ac:dyDescent="0.25">
      <c r="B510" s="251"/>
      <c r="C510" s="251"/>
      <c r="D510" s="251"/>
      <c r="E510" s="251"/>
      <c r="F510" s="251"/>
      <c r="G510" s="252"/>
      <c r="H510" s="253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  <c r="AA510" s="251"/>
      <c r="AB510" s="251"/>
      <c r="AC510" s="251"/>
      <c r="AD510" s="251"/>
      <c r="AE510" s="251"/>
      <c r="AF510" s="251"/>
      <c r="AG510" s="251"/>
      <c r="AH510" s="251"/>
      <c r="AI510" s="251"/>
      <c r="AJ510" s="251"/>
      <c r="AK510" s="251"/>
      <c r="AL510" s="251"/>
      <c r="AM510" s="251"/>
      <c r="AN510" s="251"/>
      <c r="AO510" s="251"/>
    </row>
    <row r="511" spans="2:41" x14ac:dyDescent="0.25">
      <c r="B511" s="251"/>
      <c r="C511" s="251"/>
      <c r="D511" s="251"/>
      <c r="E511" s="251"/>
      <c r="F511" s="251"/>
      <c r="G511" s="252"/>
      <c r="H511" s="253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  <c r="AA511" s="251"/>
      <c r="AB511" s="251"/>
      <c r="AC511" s="251"/>
      <c r="AD511" s="251"/>
      <c r="AE511" s="251"/>
      <c r="AF511" s="251"/>
      <c r="AG511" s="251"/>
      <c r="AH511" s="251"/>
      <c r="AI511" s="251"/>
      <c r="AJ511" s="251"/>
      <c r="AK511" s="251"/>
      <c r="AL511" s="251"/>
      <c r="AM511" s="251"/>
      <c r="AN511" s="251"/>
      <c r="AO511" s="251"/>
    </row>
    <row r="512" spans="2:41" x14ac:dyDescent="0.25">
      <c r="B512" s="251"/>
      <c r="C512" s="251"/>
      <c r="D512" s="251"/>
      <c r="E512" s="251"/>
      <c r="F512" s="251"/>
      <c r="G512" s="252"/>
      <c r="H512" s="253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  <c r="AA512" s="251"/>
      <c r="AB512" s="251"/>
      <c r="AC512" s="251"/>
      <c r="AD512" s="251"/>
      <c r="AE512" s="251"/>
      <c r="AF512" s="251"/>
      <c r="AG512" s="251"/>
      <c r="AH512" s="251"/>
      <c r="AI512" s="251"/>
      <c r="AJ512" s="251"/>
      <c r="AK512" s="251"/>
      <c r="AL512" s="251"/>
      <c r="AM512" s="251"/>
      <c r="AN512" s="251"/>
      <c r="AO512" s="251"/>
    </row>
    <row r="513" spans="2:41" x14ac:dyDescent="0.25">
      <c r="B513" s="251"/>
      <c r="C513" s="251"/>
      <c r="D513" s="251"/>
      <c r="E513" s="251"/>
      <c r="F513" s="251"/>
      <c r="G513" s="252"/>
      <c r="H513" s="253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  <c r="AA513" s="251"/>
      <c r="AB513" s="251"/>
      <c r="AC513" s="251"/>
      <c r="AD513" s="251"/>
      <c r="AE513" s="251"/>
      <c r="AF513" s="251"/>
      <c r="AG513" s="251"/>
      <c r="AH513" s="251"/>
      <c r="AI513" s="251"/>
      <c r="AJ513" s="251"/>
      <c r="AK513" s="251"/>
      <c r="AL513" s="251"/>
      <c r="AM513" s="251"/>
      <c r="AN513" s="251"/>
      <c r="AO513" s="251"/>
    </row>
    <row r="514" spans="2:41" x14ac:dyDescent="0.25">
      <c r="B514" s="251"/>
      <c r="C514" s="251"/>
      <c r="D514" s="251"/>
      <c r="E514" s="251"/>
      <c r="F514" s="251"/>
      <c r="G514" s="252"/>
      <c r="H514" s="253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  <c r="AA514" s="251"/>
      <c r="AB514" s="251"/>
      <c r="AC514" s="251"/>
      <c r="AD514" s="251"/>
      <c r="AE514" s="251"/>
      <c r="AF514" s="251"/>
      <c r="AG514" s="251"/>
      <c r="AH514" s="251"/>
      <c r="AI514" s="251"/>
      <c r="AJ514" s="251"/>
      <c r="AK514" s="251"/>
      <c r="AL514" s="251"/>
      <c r="AM514" s="251"/>
      <c r="AN514" s="251"/>
      <c r="AO514" s="251"/>
    </row>
    <row r="515" spans="2:41" x14ac:dyDescent="0.25">
      <c r="B515" s="251"/>
      <c r="C515" s="251"/>
      <c r="D515" s="251"/>
      <c r="E515" s="251"/>
      <c r="F515" s="251"/>
      <c r="G515" s="252"/>
      <c r="H515" s="253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  <c r="AA515" s="251"/>
      <c r="AB515" s="251"/>
      <c r="AC515" s="251"/>
      <c r="AD515" s="251"/>
      <c r="AE515" s="251"/>
      <c r="AF515" s="251"/>
      <c r="AG515" s="251"/>
      <c r="AH515" s="251"/>
      <c r="AI515" s="251"/>
      <c r="AJ515" s="251"/>
      <c r="AK515" s="251"/>
      <c r="AL515" s="251"/>
      <c r="AM515" s="251"/>
      <c r="AN515" s="251"/>
      <c r="AO515" s="251"/>
    </row>
    <row r="516" spans="2:41" x14ac:dyDescent="0.25">
      <c r="B516" s="251"/>
      <c r="C516" s="251"/>
      <c r="D516" s="251"/>
      <c r="E516" s="251"/>
      <c r="F516" s="251"/>
      <c r="G516" s="252"/>
      <c r="H516" s="253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  <c r="AA516" s="251"/>
      <c r="AB516" s="251"/>
      <c r="AC516" s="251"/>
      <c r="AD516" s="251"/>
      <c r="AE516" s="251"/>
      <c r="AF516" s="251"/>
      <c r="AG516" s="251"/>
      <c r="AH516" s="251"/>
      <c r="AI516" s="251"/>
      <c r="AJ516" s="251"/>
      <c r="AK516" s="251"/>
      <c r="AL516" s="251"/>
      <c r="AM516" s="251"/>
      <c r="AN516" s="251"/>
      <c r="AO516" s="251"/>
    </row>
    <row r="517" spans="2:41" x14ac:dyDescent="0.25">
      <c r="B517" s="251"/>
      <c r="C517" s="251"/>
      <c r="D517" s="251"/>
      <c r="E517" s="251"/>
      <c r="F517" s="251"/>
      <c r="G517" s="252"/>
      <c r="H517" s="253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  <c r="AA517" s="251"/>
      <c r="AB517" s="251"/>
      <c r="AC517" s="251"/>
      <c r="AD517" s="251"/>
      <c r="AE517" s="251"/>
      <c r="AF517" s="251"/>
      <c r="AG517" s="251"/>
      <c r="AH517" s="251"/>
      <c r="AI517" s="251"/>
      <c r="AJ517" s="251"/>
      <c r="AK517" s="251"/>
      <c r="AL517" s="251"/>
      <c r="AM517" s="251"/>
      <c r="AN517" s="251"/>
      <c r="AO517" s="251"/>
    </row>
    <row r="518" spans="2:41" x14ac:dyDescent="0.25">
      <c r="B518" s="251"/>
      <c r="C518" s="251"/>
      <c r="D518" s="251"/>
      <c r="E518" s="251"/>
      <c r="F518" s="251"/>
      <c r="G518" s="252"/>
      <c r="H518" s="253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  <c r="AA518" s="251"/>
      <c r="AB518" s="251"/>
      <c r="AC518" s="251"/>
      <c r="AD518" s="251"/>
      <c r="AE518" s="251"/>
      <c r="AF518" s="251"/>
      <c r="AG518" s="251"/>
      <c r="AH518" s="251"/>
      <c r="AI518" s="251"/>
      <c r="AJ518" s="251"/>
      <c r="AK518" s="251"/>
      <c r="AL518" s="251"/>
      <c r="AM518" s="251"/>
      <c r="AN518" s="251"/>
      <c r="AO518" s="251"/>
    </row>
    <row r="519" spans="2:41" x14ac:dyDescent="0.25">
      <c r="B519" s="251"/>
      <c r="C519" s="251"/>
      <c r="D519" s="251"/>
      <c r="E519" s="251"/>
      <c r="F519" s="251"/>
      <c r="G519" s="252"/>
      <c r="H519" s="253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  <c r="AA519" s="251"/>
      <c r="AB519" s="251"/>
      <c r="AC519" s="251"/>
      <c r="AD519" s="251"/>
      <c r="AE519" s="251"/>
      <c r="AF519" s="251"/>
      <c r="AG519" s="251"/>
      <c r="AH519" s="251"/>
      <c r="AI519" s="251"/>
      <c r="AJ519" s="251"/>
      <c r="AK519" s="251"/>
      <c r="AL519" s="251"/>
      <c r="AM519" s="251"/>
      <c r="AN519" s="251"/>
      <c r="AO519" s="251"/>
    </row>
    <row r="520" spans="2:41" x14ac:dyDescent="0.25">
      <c r="B520" s="251"/>
      <c r="C520" s="251"/>
      <c r="D520" s="251"/>
      <c r="E520" s="251"/>
      <c r="F520" s="251"/>
      <c r="G520" s="252"/>
      <c r="H520" s="253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  <c r="AA520" s="251"/>
      <c r="AB520" s="251"/>
      <c r="AC520" s="251"/>
      <c r="AD520" s="251"/>
      <c r="AE520" s="251"/>
      <c r="AF520" s="251"/>
      <c r="AG520" s="251"/>
      <c r="AH520" s="251"/>
      <c r="AI520" s="251"/>
      <c r="AJ520" s="251"/>
      <c r="AK520" s="251"/>
      <c r="AL520" s="251"/>
      <c r="AM520" s="251"/>
      <c r="AN520" s="251"/>
      <c r="AO520" s="251"/>
    </row>
    <row r="521" spans="2:41" x14ac:dyDescent="0.25">
      <c r="B521" s="251"/>
      <c r="C521" s="251"/>
      <c r="D521" s="251"/>
      <c r="E521" s="251"/>
      <c r="F521" s="251"/>
      <c r="G521" s="252"/>
      <c r="H521" s="253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  <c r="AA521" s="251"/>
      <c r="AB521" s="251"/>
      <c r="AC521" s="251"/>
      <c r="AD521" s="251"/>
      <c r="AE521" s="251"/>
      <c r="AF521" s="251"/>
      <c r="AG521" s="251"/>
      <c r="AH521" s="251"/>
      <c r="AI521" s="251"/>
      <c r="AJ521" s="251"/>
      <c r="AK521" s="251"/>
      <c r="AL521" s="251"/>
      <c r="AM521" s="251"/>
      <c r="AN521" s="251"/>
      <c r="AO521" s="251"/>
    </row>
    <row r="522" spans="2:41" x14ac:dyDescent="0.25">
      <c r="B522" s="251"/>
      <c r="C522" s="251"/>
      <c r="D522" s="251"/>
      <c r="E522" s="251"/>
      <c r="F522" s="251"/>
      <c r="G522" s="252"/>
      <c r="H522" s="253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  <c r="AA522" s="251"/>
      <c r="AB522" s="251"/>
      <c r="AC522" s="251"/>
      <c r="AD522" s="251"/>
      <c r="AE522" s="251"/>
      <c r="AF522" s="251"/>
      <c r="AG522" s="251"/>
      <c r="AH522" s="251"/>
      <c r="AI522" s="251"/>
      <c r="AJ522" s="251"/>
      <c r="AK522" s="251"/>
      <c r="AL522" s="251"/>
      <c r="AM522" s="251"/>
      <c r="AN522" s="251"/>
      <c r="AO522" s="251"/>
    </row>
    <row r="523" spans="2:41" x14ac:dyDescent="0.25">
      <c r="B523" s="251"/>
      <c r="C523" s="251"/>
      <c r="D523" s="251"/>
      <c r="E523" s="251"/>
      <c r="F523" s="251"/>
      <c r="G523" s="252"/>
      <c r="H523" s="253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  <c r="AA523" s="251"/>
      <c r="AB523" s="251"/>
      <c r="AC523" s="251"/>
      <c r="AD523" s="251"/>
      <c r="AE523" s="251"/>
      <c r="AF523" s="251"/>
      <c r="AG523" s="251"/>
      <c r="AH523" s="251"/>
      <c r="AI523" s="251"/>
      <c r="AJ523" s="251"/>
      <c r="AK523" s="251"/>
      <c r="AL523" s="251"/>
      <c r="AM523" s="251"/>
      <c r="AN523" s="251"/>
      <c r="AO523" s="251"/>
    </row>
    <row r="524" spans="2:41" x14ac:dyDescent="0.25">
      <c r="B524" s="251"/>
      <c r="C524" s="251"/>
      <c r="D524" s="251"/>
      <c r="E524" s="251"/>
      <c r="F524" s="251"/>
      <c r="G524" s="252"/>
      <c r="H524" s="253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1"/>
      <c r="AG524" s="251"/>
      <c r="AH524" s="251"/>
      <c r="AI524" s="251"/>
      <c r="AJ524" s="251"/>
      <c r="AK524" s="251"/>
      <c r="AL524" s="251"/>
      <c r="AM524" s="251"/>
      <c r="AN524" s="251"/>
      <c r="AO524" s="251"/>
    </row>
    <row r="525" spans="2:41" x14ac:dyDescent="0.25">
      <c r="B525" s="251"/>
      <c r="C525" s="251"/>
      <c r="D525" s="251"/>
      <c r="E525" s="251"/>
      <c r="F525" s="251"/>
      <c r="G525" s="252"/>
      <c r="H525" s="253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  <c r="AA525" s="251"/>
      <c r="AB525" s="251"/>
      <c r="AC525" s="251"/>
      <c r="AD525" s="251"/>
      <c r="AE525" s="251"/>
      <c r="AF525" s="251"/>
      <c r="AG525" s="251"/>
      <c r="AH525" s="251"/>
      <c r="AI525" s="251"/>
      <c r="AJ525" s="251"/>
      <c r="AK525" s="251"/>
      <c r="AL525" s="251"/>
      <c r="AM525" s="251"/>
      <c r="AN525" s="251"/>
      <c r="AO525" s="251"/>
    </row>
    <row r="526" spans="2:41" x14ac:dyDescent="0.25">
      <c r="B526" s="251"/>
      <c r="C526" s="251"/>
      <c r="D526" s="251"/>
      <c r="E526" s="251"/>
      <c r="F526" s="251"/>
      <c r="G526" s="252"/>
      <c r="H526" s="253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  <c r="AA526" s="251"/>
      <c r="AB526" s="251"/>
      <c r="AC526" s="251"/>
      <c r="AD526" s="251"/>
      <c r="AE526" s="251"/>
      <c r="AF526" s="251"/>
      <c r="AG526" s="251"/>
      <c r="AH526" s="251"/>
      <c r="AI526" s="251"/>
      <c r="AJ526" s="251"/>
      <c r="AK526" s="251"/>
      <c r="AL526" s="251"/>
      <c r="AM526" s="251"/>
      <c r="AN526" s="251"/>
      <c r="AO526" s="251"/>
    </row>
    <row r="527" spans="2:41" x14ac:dyDescent="0.25">
      <c r="B527" s="251"/>
      <c r="C527" s="251"/>
      <c r="D527" s="251"/>
      <c r="E527" s="251"/>
      <c r="F527" s="251"/>
      <c r="G527" s="252"/>
      <c r="H527" s="253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  <c r="AA527" s="251"/>
      <c r="AB527" s="251"/>
      <c r="AC527" s="251"/>
      <c r="AD527" s="251"/>
      <c r="AE527" s="251"/>
      <c r="AF527" s="251"/>
      <c r="AG527" s="251"/>
      <c r="AH527" s="251"/>
      <c r="AI527" s="251"/>
      <c r="AJ527" s="251"/>
      <c r="AK527" s="251"/>
      <c r="AL527" s="251"/>
      <c r="AM527" s="251"/>
      <c r="AN527" s="251"/>
      <c r="AO527" s="251"/>
    </row>
    <row r="528" spans="2:41" x14ac:dyDescent="0.25">
      <c r="B528" s="251"/>
      <c r="C528" s="251"/>
      <c r="D528" s="251"/>
      <c r="E528" s="251"/>
      <c r="F528" s="251"/>
      <c r="G528" s="252"/>
      <c r="H528" s="253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  <c r="AA528" s="251"/>
      <c r="AB528" s="251"/>
      <c r="AC528" s="251"/>
      <c r="AD528" s="251"/>
      <c r="AE528" s="251"/>
      <c r="AF528" s="251"/>
      <c r="AG528" s="251"/>
      <c r="AH528" s="251"/>
      <c r="AI528" s="251"/>
      <c r="AJ528" s="251"/>
      <c r="AK528" s="251"/>
      <c r="AL528" s="251"/>
      <c r="AM528" s="251"/>
      <c r="AN528" s="251"/>
      <c r="AO528" s="251"/>
    </row>
    <row r="529" spans="2:41" x14ac:dyDescent="0.25">
      <c r="B529" s="251"/>
      <c r="C529" s="251"/>
      <c r="D529" s="251"/>
      <c r="E529" s="251"/>
      <c r="F529" s="251"/>
      <c r="G529" s="252"/>
      <c r="H529" s="253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  <c r="AA529" s="251"/>
      <c r="AB529" s="251"/>
      <c r="AC529" s="251"/>
      <c r="AD529" s="251"/>
      <c r="AE529" s="251"/>
      <c r="AF529" s="251"/>
      <c r="AG529" s="251"/>
      <c r="AH529" s="251"/>
      <c r="AI529" s="251"/>
      <c r="AJ529" s="251"/>
      <c r="AK529" s="251"/>
      <c r="AL529" s="251"/>
      <c r="AM529" s="251"/>
      <c r="AN529" s="251"/>
      <c r="AO529" s="251"/>
    </row>
    <row r="530" spans="2:41" x14ac:dyDescent="0.25">
      <c r="B530" s="251"/>
      <c r="C530" s="251"/>
      <c r="D530" s="251"/>
      <c r="E530" s="251"/>
      <c r="F530" s="251"/>
      <c r="G530" s="252"/>
      <c r="H530" s="253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  <c r="AA530" s="251"/>
      <c r="AB530" s="251"/>
      <c r="AC530" s="251"/>
      <c r="AD530" s="251"/>
      <c r="AE530" s="251"/>
      <c r="AF530" s="251"/>
      <c r="AG530" s="251"/>
      <c r="AH530" s="251"/>
      <c r="AI530" s="251"/>
      <c r="AJ530" s="251"/>
      <c r="AK530" s="251"/>
      <c r="AL530" s="251"/>
      <c r="AM530" s="251"/>
      <c r="AN530" s="251"/>
      <c r="AO530" s="251"/>
    </row>
    <row r="531" spans="2:41" x14ac:dyDescent="0.25">
      <c r="B531" s="251"/>
      <c r="C531" s="251"/>
      <c r="D531" s="251"/>
      <c r="E531" s="251"/>
      <c r="F531" s="251"/>
      <c r="G531" s="252"/>
      <c r="H531" s="253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  <c r="AA531" s="251"/>
      <c r="AB531" s="251"/>
      <c r="AC531" s="251"/>
      <c r="AD531" s="251"/>
      <c r="AE531" s="251"/>
      <c r="AF531" s="251"/>
      <c r="AG531" s="251"/>
      <c r="AH531" s="251"/>
      <c r="AI531" s="251"/>
      <c r="AJ531" s="251"/>
      <c r="AK531" s="251"/>
      <c r="AL531" s="251"/>
      <c r="AM531" s="251"/>
      <c r="AN531" s="251"/>
      <c r="AO531" s="251"/>
    </row>
    <row r="532" spans="2:41" x14ac:dyDescent="0.25">
      <c r="B532" s="251"/>
      <c r="C532" s="251"/>
      <c r="D532" s="251"/>
      <c r="E532" s="251"/>
      <c r="F532" s="251"/>
      <c r="G532" s="252"/>
      <c r="H532" s="253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  <c r="AA532" s="251"/>
      <c r="AB532" s="251"/>
      <c r="AC532" s="251"/>
      <c r="AD532" s="251"/>
      <c r="AE532" s="251"/>
      <c r="AF532" s="251"/>
      <c r="AG532" s="251"/>
      <c r="AH532" s="251"/>
      <c r="AI532" s="251"/>
      <c r="AJ532" s="251"/>
      <c r="AK532" s="251"/>
      <c r="AL532" s="251"/>
      <c r="AM532" s="251"/>
      <c r="AN532" s="251"/>
      <c r="AO532" s="251"/>
    </row>
    <row r="533" spans="2:41" x14ac:dyDescent="0.25">
      <c r="B533" s="251"/>
      <c r="C533" s="251"/>
      <c r="D533" s="251"/>
      <c r="E533" s="251"/>
      <c r="F533" s="251"/>
      <c r="G533" s="252"/>
      <c r="H533" s="253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  <c r="AA533" s="251"/>
      <c r="AB533" s="251"/>
      <c r="AC533" s="251"/>
      <c r="AD533" s="251"/>
      <c r="AE533" s="251"/>
      <c r="AF533" s="251"/>
      <c r="AG533" s="251"/>
      <c r="AH533" s="251"/>
      <c r="AI533" s="251"/>
      <c r="AJ533" s="251"/>
      <c r="AK533" s="251"/>
      <c r="AL533" s="251"/>
      <c r="AM533" s="251"/>
      <c r="AN533" s="251"/>
      <c r="AO533" s="251"/>
    </row>
    <row r="534" spans="2:41" x14ac:dyDescent="0.25">
      <c r="B534" s="251"/>
      <c r="C534" s="251"/>
      <c r="D534" s="251"/>
      <c r="E534" s="251"/>
      <c r="F534" s="251"/>
      <c r="G534" s="252"/>
      <c r="H534" s="253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  <c r="AA534" s="251"/>
      <c r="AB534" s="251"/>
      <c r="AC534" s="251"/>
      <c r="AD534" s="251"/>
      <c r="AE534" s="251"/>
      <c r="AF534" s="251"/>
      <c r="AG534" s="251"/>
      <c r="AH534" s="251"/>
      <c r="AI534" s="251"/>
      <c r="AJ534" s="251"/>
      <c r="AK534" s="251"/>
      <c r="AL534" s="251"/>
      <c r="AM534" s="251"/>
      <c r="AN534" s="251"/>
      <c r="AO534" s="251"/>
    </row>
    <row r="535" spans="2:41" x14ac:dyDescent="0.25">
      <c r="B535" s="251"/>
      <c r="C535" s="251"/>
      <c r="D535" s="251"/>
      <c r="E535" s="251"/>
      <c r="F535" s="251"/>
      <c r="G535" s="252"/>
      <c r="H535" s="253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  <c r="AA535" s="251"/>
      <c r="AB535" s="251"/>
      <c r="AC535" s="251"/>
      <c r="AD535" s="251"/>
      <c r="AE535" s="251"/>
      <c r="AF535" s="251"/>
      <c r="AG535" s="251"/>
      <c r="AH535" s="251"/>
      <c r="AI535" s="251"/>
      <c r="AJ535" s="251"/>
      <c r="AK535" s="251"/>
      <c r="AL535" s="251"/>
      <c r="AM535" s="251"/>
      <c r="AN535" s="251"/>
      <c r="AO535" s="251"/>
    </row>
    <row r="536" spans="2:41" x14ac:dyDescent="0.25">
      <c r="B536" s="251"/>
      <c r="C536" s="251"/>
      <c r="D536" s="251"/>
      <c r="E536" s="251"/>
      <c r="F536" s="251"/>
      <c r="G536" s="252"/>
      <c r="H536" s="253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  <c r="AA536" s="251"/>
      <c r="AB536" s="251"/>
      <c r="AC536" s="251"/>
      <c r="AD536" s="251"/>
      <c r="AE536" s="251"/>
      <c r="AF536" s="251"/>
      <c r="AG536" s="251"/>
      <c r="AH536" s="251"/>
      <c r="AI536" s="251"/>
      <c r="AJ536" s="251"/>
      <c r="AK536" s="251"/>
      <c r="AL536" s="251"/>
      <c r="AM536" s="251"/>
      <c r="AN536" s="251"/>
      <c r="AO536" s="251"/>
    </row>
    <row r="537" spans="2:41" x14ac:dyDescent="0.25">
      <c r="B537" s="251"/>
      <c r="C537" s="251"/>
      <c r="D537" s="251"/>
      <c r="E537" s="251"/>
      <c r="F537" s="251"/>
      <c r="G537" s="252"/>
      <c r="H537" s="253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  <c r="AA537" s="251"/>
      <c r="AB537" s="251"/>
      <c r="AC537" s="251"/>
      <c r="AD537" s="251"/>
      <c r="AE537" s="251"/>
      <c r="AF537" s="251"/>
      <c r="AG537" s="251"/>
      <c r="AH537" s="251"/>
      <c r="AI537" s="251"/>
      <c r="AJ537" s="251"/>
      <c r="AK537" s="251"/>
      <c r="AL537" s="251"/>
      <c r="AM537" s="251"/>
      <c r="AN537" s="251"/>
      <c r="AO537" s="251"/>
    </row>
    <row r="538" spans="2:41" x14ac:dyDescent="0.25">
      <c r="B538" s="251"/>
      <c r="C538" s="251"/>
      <c r="D538" s="251"/>
      <c r="E538" s="251"/>
      <c r="F538" s="251"/>
      <c r="G538" s="252"/>
      <c r="H538" s="253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  <c r="AA538" s="251"/>
      <c r="AB538" s="251"/>
      <c r="AC538" s="251"/>
      <c r="AD538" s="251"/>
      <c r="AE538" s="251"/>
      <c r="AF538" s="251"/>
      <c r="AG538" s="251"/>
      <c r="AH538" s="251"/>
      <c r="AI538" s="251"/>
      <c r="AJ538" s="251"/>
      <c r="AK538" s="251"/>
      <c r="AL538" s="251"/>
      <c r="AM538" s="251"/>
      <c r="AN538" s="251"/>
      <c r="AO538" s="251"/>
    </row>
    <row r="539" spans="2:41" x14ac:dyDescent="0.25">
      <c r="B539" s="251"/>
      <c r="C539" s="251"/>
      <c r="D539" s="251"/>
      <c r="E539" s="251"/>
      <c r="F539" s="251"/>
      <c r="G539" s="252"/>
      <c r="H539" s="253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  <c r="AA539" s="251"/>
      <c r="AB539" s="251"/>
      <c r="AC539" s="251"/>
      <c r="AD539" s="251"/>
      <c r="AE539" s="251"/>
      <c r="AF539" s="251"/>
      <c r="AG539" s="251"/>
      <c r="AH539" s="251"/>
      <c r="AI539" s="251"/>
      <c r="AJ539" s="251"/>
      <c r="AK539" s="251"/>
      <c r="AL539" s="251"/>
      <c r="AM539" s="251"/>
      <c r="AN539" s="251"/>
      <c r="AO539" s="251"/>
    </row>
    <row r="540" spans="2:41" x14ac:dyDescent="0.25">
      <c r="B540" s="251"/>
      <c r="C540" s="251"/>
      <c r="D540" s="251"/>
      <c r="E540" s="251"/>
      <c r="F540" s="251"/>
      <c r="G540" s="252"/>
      <c r="H540" s="253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  <c r="AA540" s="251"/>
      <c r="AB540" s="251"/>
      <c r="AC540" s="251"/>
      <c r="AD540" s="251"/>
      <c r="AE540" s="251"/>
      <c r="AF540" s="251"/>
      <c r="AG540" s="251"/>
      <c r="AH540" s="251"/>
      <c r="AI540" s="251"/>
      <c r="AJ540" s="251"/>
      <c r="AK540" s="251"/>
      <c r="AL540" s="251"/>
      <c r="AM540" s="251"/>
      <c r="AN540" s="251"/>
      <c r="AO540" s="251"/>
    </row>
    <row r="541" spans="2:41" x14ac:dyDescent="0.25">
      <c r="B541" s="251"/>
      <c r="C541" s="251"/>
      <c r="D541" s="251"/>
      <c r="E541" s="251"/>
      <c r="F541" s="251"/>
      <c r="G541" s="252"/>
      <c r="H541" s="253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  <c r="AA541" s="251"/>
      <c r="AB541" s="251"/>
      <c r="AC541" s="251"/>
      <c r="AD541" s="251"/>
      <c r="AE541" s="251"/>
      <c r="AF541" s="251"/>
      <c r="AG541" s="251"/>
      <c r="AH541" s="251"/>
      <c r="AI541" s="251"/>
      <c r="AJ541" s="251"/>
      <c r="AK541" s="251"/>
      <c r="AL541" s="251"/>
      <c r="AM541" s="251"/>
      <c r="AN541" s="251"/>
      <c r="AO541" s="251"/>
    </row>
    <row r="542" spans="2:41" x14ac:dyDescent="0.25">
      <c r="B542" s="251"/>
      <c r="C542" s="251"/>
      <c r="D542" s="251"/>
      <c r="E542" s="251"/>
      <c r="F542" s="251"/>
      <c r="G542" s="252"/>
      <c r="H542" s="253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  <c r="AA542" s="251"/>
      <c r="AB542" s="251"/>
      <c r="AC542" s="251"/>
      <c r="AD542" s="251"/>
      <c r="AE542" s="251"/>
      <c r="AF542" s="251"/>
      <c r="AG542" s="251"/>
      <c r="AH542" s="251"/>
      <c r="AI542" s="251"/>
      <c r="AJ542" s="251"/>
      <c r="AK542" s="251"/>
      <c r="AL542" s="251"/>
      <c r="AM542" s="251"/>
      <c r="AN542" s="251"/>
      <c r="AO542" s="251"/>
    </row>
    <row r="543" spans="2:41" x14ac:dyDescent="0.25">
      <c r="B543" s="251"/>
      <c r="C543" s="251"/>
      <c r="D543" s="251"/>
      <c r="E543" s="251"/>
      <c r="F543" s="251"/>
      <c r="G543" s="252"/>
      <c r="H543" s="253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  <c r="AA543" s="251"/>
      <c r="AB543" s="251"/>
      <c r="AC543" s="251"/>
      <c r="AD543" s="251"/>
      <c r="AE543" s="251"/>
      <c r="AF543" s="251"/>
      <c r="AG543" s="251"/>
      <c r="AH543" s="251"/>
      <c r="AI543" s="251"/>
      <c r="AJ543" s="251"/>
      <c r="AK543" s="251"/>
      <c r="AL543" s="251"/>
      <c r="AM543" s="251"/>
      <c r="AN543" s="251"/>
      <c r="AO543" s="251"/>
    </row>
    <row r="544" spans="2:41" x14ac:dyDescent="0.25">
      <c r="B544" s="251"/>
      <c r="C544" s="251"/>
      <c r="D544" s="251"/>
      <c r="E544" s="251"/>
      <c r="F544" s="251"/>
      <c r="G544" s="252"/>
      <c r="H544" s="253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  <c r="AA544" s="251"/>
      <c r="AB544" s="251"/>
      <c r="AC544" s="251"/>
      <c r="AD544" s="251"/>
      <c r="AE544" s="251"/>
      <c r="AF544" s="251"/>
      <c r="AG544" s="251"/>
      <c r="AH544" s="251"/>
      <c r="AI544" s="251"/>
      <c r="AJ544" s="251"/>
      <c r="AK544" s="251"/>
      <c r="AL544" s="251"/>
      <c r="AM544" s="251"/>
      <c r="AN544" s="251"/>
      <c r="AO544" s="251"/>
    </row>
    <row r="545" spans="2:41" x14ac:dyDescent="0.25">
      <c r="B545" s="251"/>
      <c r="C545" s="251"/>
      <c r="D545" s="251"/>
      <c r="E545" s="251"/>
      <c r="F545" s="251"/>
      <c r="G545" s="252"/>
      <c r="H545" s="253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  <c r="AA545" s="251"/>
      <c r="AB545" s="251"/>
      <c r="AC545" s="251"/>
      <c r="AD545" s="251"/>
      <c r="AE545" s="251"/>
      <c r="AF545" s="251"/>
      <c r="AG545" s="251"/>
      <c r="AH545" s="251"/>
      <c r="AI545" s="251"/>
      <c r="AJ545" s="251"/>
      <c r="AK545" s="251"/>
      <c r="AL545" s="251"/>
      <c r="AM545" s="251"/>
      <c r="AN545" s="251"/>
      <c r="AO545" s="251"/>
    </row>
    <row r="546" spans="2:41" x14ac:dyDescent="0.25">
      <c r="B546" s="251"/>
      <c r="C546" s="251"/>
      <c r="D546" s="251"/>
      <c r="E546" s="251"/>
      <c r="F546" s="251"/>
      <c r="G546" s="252"/>
      <c r="H546" s="253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  <c r="AA546" s="251"/>
      <c r="AB546" s="251"/>
      <c r="AC546" s="251"/>
      <c r="AD546" s="251"/>
      <c r="AE546" s="251"/>
      <c r="AF546" s="251"/>
      <c r="AG546" s="251"/>
      <c r="AH546" s="251"/>
      <c r="AI546" s="251"/>
      <c r="AJ546" s="251"/>
      <c r="AK546" s="251"/>
      <c r="AL546" s="251"/>
      <c r="AM546" s="251"/>
      <c r="AN546" s="251"/>
      <c r="AO546" s="251"/>
    </row>
    <row r="547" spans="2:41" x14ac:dyDescent="0.25">
      <c r="B547" s="251"/>
      <c r="C547" s="251"/>
      <c r="D547" s="251"/>
      <c r="E547" s="251"/>
      <c r="F547" s="251"/>
      <c r="G547" s="252"/>
      <c r="H547" s="253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  <c r="AA547" s="251"/>
      <c r="AB547" s="251"/>
      <c r="AC547" s="251"/>
      <c r="AD547" s="251"/>
      <c r="AE547" s="251"/>
      <c r="AF547" s="251"/>
      <c r="AG547" s="251"/>
      <c r="AH547" s="251"/>
      <c r="AI547" s="251"/>
      <c r="AJ547" s="251"/>
      <c r="AK547" s="251"/>
      <c r="AL547" s="251"/>
      <c r="AM547" s="251"/>
      <c r="AN547" s="251"/>
      <c r="AO547" s="251"/>
    </row>
    <row r="548" spans="2:41" x14ac:dyDescent="0.25">
      <c r="B548" s="251"/>
      <c r="C548" s="251"/>
      <c r="D548" s="251"/>
      <c r="E548" s="251"/>
      <c r="F548" s="251"/>
      <c r="G548" s="252"/>
      <c r="H548" s="253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  <c r="AA548" s="251"/>
      <c r="AB548" s="251"/>
      <c r="AC548" s="251"/>
      <c r="AD548" s="251"/>
      <c r="AE548" s="251"/>
      <c r="AF548" s="251"/>
      <c r="AG548" s="251"/>
      <c r="AH548" s="251"/>
      <c r="AI548" s="251"/>
      <c r="AJ548" s="251"/>
      <c r="AK548" s="251"/>
      <c r="AL548" s="251"/>
      <c r="AM548" s="251"/>
      <c r="AN548" s="251"/>
      <c r="AO548" s="251"/>
    </row>
    <row r="549" spans="2:41" x14ac:dyDescent="0.25">
      <c r="B549" s="251"/>
      <c r="C549" s="251"/>
      <c r="D549" s="251"/>
      <c r="E549" s="251"/>
      <c r="F549" s="251"/>
      <c r="G549" s="252"/>
      <c r="H549" s="253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  <c r="AA549" s="251"/>
      <c r="AB549" s="251"/>
      <c r="AC549" s="251"/>
      <c r="AD549" s="251"/>
      <c r="AE549" s="251"/>
      <c r="AF549" s="251"/>
      <c r="AG549" s="251"/>
      <c r="AH549" s="251"/>
      <c r="AI549" s="251"/>
      <c r="AJ549" s="251"/>
      <c r="AK549" s="251"/>
      <c r="AL549" s="251"/>
      <c r="AM549" s="251"/>
      <c r="AN549" s="251"/>
      <c r="AO549" s="251"/>
    </row>
    <row r="550" spans="2:41" x14ac:dyDescent="0.25">
      <c r="B550" s="251"/>
      <c r="C550" s="251"/>
      <c r="D550" s="251"/>
      <c r="E550" s="251"/>
      <c r="F550" s="251"/>
      <c r="G550" s="252"/>
      <c r="H550" s="253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  <c r="AA550" s="251"/>
      <c r="AB550" s="251"/>
      <c r="AC550" s="251"/>
      <c r="AD550" s="251"/>
      <c r="AE550" s="251"/>
      <c r="AF550" s="251"/>
      <c r="AG550" s="251"/>
      <c r="AH550" s="251"/>
      <c r="AI550" s="251"/>
      <c r="AJ550" s="251"/>
      <c r="AK550" s="251"/>
      <c r="AL550" s="251"/>
      <c r="AM550" s="251"/>
      <c r="AN550" s="251"/>
      <c r="AO550" s="251"/>
    </row>
    <row r="551" spans="2:41" x14ac:dyDescent="0.25">
      <c r="B551" s="251"/>
      <c r="C551" s="251"/>
      <c r="D551" s="251"/>
      <c r="E551" s="251"/>
      <c r="F551" s="251"/>
      <c r="G551" s="252"/>
      <c r="H551" s="253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  <c r="AA551" s="251"/>
      <c r="AB551" s="251"/>
      <c r="AC551" s="251"/>
      <c r="AD551" s="251"/>
      <c r="AE551" s="251"/>
      <c r="AF551" s="251"/>
      <c r="AG551" s="251"/>
      <c r="AH551" s="251"/>
      <c r="AI551" s="251"/>
      <c r="AJ551" s="251"/>
      <c r="AK551" s="251"/>
      <c r="AL551" s="251"/>
      <c r="AM551" s="251"/>
      <c r="AN551" s="251"/>
      <c r="AO551" s="251"/>
    </row>
    <row r="552" spans="2:41" x14ac:dyDescent="0.25">
      <c r="B552" s="251"/>
      <c r="C552" s="251"/>
      <c r="D552" s="251"/>
      <c r="E552" s="251"/>
      <c r="F552" s="251"/>
      <c r="G552" s="252"/>
      <c r="H552" s="253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  <c r="AA552" s="251"/>
      <c r="AB552" s="251"/>
      <c r="AC552" s="251"/>
      <c r="AD552" s="251"/>
      <c r="AE552" s="251"/>
      <c r="AF552" s="251"/>
      <c r="AG552" s="251"/>
      <c r="AH552" s="251"/>
      <c r="AI552" s="251"/>
      <c r="AJ552" s="251"/>
      <c r="AK552" s="251"/>
      <c r="AL552" s="251"/>
      <c r="AM552" s="251"/>
      <c r="AN552" s="251"/>
      <c r="AO552" s="251"/>
    </row>
    <row r="553" spans="2:41" x14ac:dyDescent="0.25">
      <c r="B553" s="251"/>
      <c r="C553" s="251"/>
      <c r="D553" s="251"/>
      <c r="E553" s="251"/>
      <c r="F553" s="251"/>
      <c r="G553" s="252"/>
      <c r="H553" s="253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  <c r="AA553" s="251"/>
      <c r="AB553" s="251"/>
      <c r="AC553" s="251"/>
      <c r="AD553" s="251"/>
      <c r="AE553" s="251"/>
      <c r="AF553" s="251"/>
      <c r="AG553" s="251"/>
      <c r="AH553" s="251"/>
      <c r="AI553" s="251"/>
      <c r="AJ553" s="251"/>
      <c r="AK553" s="251"/>
      <c r="AL553" s="251"/>
      <c r="AM553" s="251"/>
      <c r="AN553" s="251"/>
      <c r="AO553" s="251"/>
    </row>
    <row r="554" spans="2:41" x14ac:dyDescent="0.25">
      <c r="B554" s="251"/>
      <c r="C554" s="251"/>
      <c r="D554" s="251"/>
      <c r="E554" s="251"/>
      <c r="F554" s="251"/>
      <c r="G554" s="252"/>
      <c r="H554" s="253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  <c r="AA554" s="251"/>
      <c r="AB554" s="251"/>
      <c r="AC554" s="251"/>
      <c r="AD554" s="251"/>
      <c r="AE554" s="251"/>
      <c r="AF554" s="251"/>
      <c r="AG554" s="251"/>
      <c r="AH554" s="251"/>
      <c r="AI554" s="251"/>
      <c r="AJ554" s="251"/>
      <c r="AK554" s="251"/>
      <c r="AL554" s="251"/>
      <c r="AM554" s="251"/>
      <c r="AN554" s="251"/>
      <c r="AO554" s="251"/>
    </row>
    <row r="555" spans="2:41" x14ac:dyDescent="0.25">
      <c r="B555" s="251"/>
      <c r="C555" s="251"/>
      <c r="D555" s="251"/>
      <c r="E555" s="251"/>
      <c r="F555" s="251"/>
      <c r="G555" s="252"/>
      <c r="H555" s="253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  <c r="AA555" s="251"/>
      <c r="AB555" s="251"/>
      <c r="AC555" s="251"/>
      <c r="AD555" s="251"/>
      <c r="AE555" s="251"/>
      <c r="AF555" s="251"/>
      <c r="AG555" s="251"/>
      <c r="AH555" s="251"/>
      <c r="AI555" s="251"/>
      <c r="AJ555" s="251"/>
      <c r="AK555" s="251"/>
      <c r="AL555" s="251"/>
      <c r="AM555" s="251"/>
      <c r="AN555" s="251"/>
      <c r="AO555" s="251"/>
    </row>
    <row r="556" spans="2:41" x14ac:dyDescent="0.25">
      <c r="B556" s="251"/>
      <c r="C556" s="251"/>
      <c r="D556" s="251"/>
      <c r="E556" s="251"/>
      <c r="F556" s="251"/>
      <c r="G556" s="252"/>
      <c r="H556" s="253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  <c r="AA556" s="251"/>
      <c r="AB556" s="251"/>
      <c r="AC556" s="251"/>
      <c r="AD556" s="251"/>
      <c r="AE556" s="251"/>
      <c r="AF556" s="251"/>
      <c r="AG556" s="251"/>
      <c r="AH556" s="251"/>
      <c r="AI556" s="251"/>
      <c r="AJ556" s="251"/>
      <c r="AK556" s="251"/>
      <c r="AL556" s="251"/>
      <c r="AM556" s="251"/>
      <c r="AN556" s="251"/>
      <c r="AO556" s="251"/>
    </row>
    <row r="557" spans="2:41" x14ac:dyDescent="0.25">
      <c r="B557" s="251"/>
      <c r="C557" s="251"/>
      <c r="D557" s="251"/>
      <c r="E557" s="251"/>
      <c r="F557" s="251"/>
      <c r="G557" s="252"/>
      <c r="H557" s="253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  <c r="AA557" s="251"/>
      <c r="AB557" s="251"/>
      <c r="AC557" s="251"/>
      <c r="AD557" s="251"/>
      <c r="AE557" s="251"/>
      <c r="AF557" s="251"/>
      <c r="AG557" s="251"/>
      <c r="AH557" s="251"/>
      <c r="AI557" s="251"/>
      <c r="AJ557" s="251"/>
      <c r="AK557" s="251"/>
      <c r="AL557" s="251"/>
      <c r="AM557" s="251"/>
      <c r="AN557" s="251"/>
      <c r="AO557" s="251"/>
    </row>
    <row r="558" spans="2:41" x14ac:dyDescent="0.25">
      <c r="B558" s="251"/>
      <c r="C558" s="251"/>
      <c r="D558" s="251"/>
      <c r="E558" s="251"/>
      <c r="F558" s="251"/>
      <c r="G558" s="252"/>
      <c r="H558" s="253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  <c r="AA558" s="251"/>
      <c r="AB558" s="251"/>
      <c r="AC558" s="251"/>
      <c r="AD558" s="251"/>
      <c r="AE558" s="251"/>
      <c r="AF558" s="251"/>
      <c r="AG558" s="251"/>
      <c r="AH558" s="251"/>
      <c r="AI558" s="251"/>
      <c r="AJ558" s="251"/>
      <c r="AK558" s="251"/>
      <c r="AL558" s="251"/>
      <c r="AM558" s="251"/>
      <c r="AN558" s="251"/>
      <c r="AO558" s="251"/>
    </row>
    <row r="559" spans="2:41" x14ac:dyDescent="0.25">
      <c r="B559" s="251"/>
      <c r="C559" s="251"/>
      <c r="D559" s="251"/>
      <c r="E559" s="251"/>
      <c r="F559" s="251"/>
      <c r="G559" s="252"/>
      <c r="H559" s="253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  <c r="AA559" s="251"/>
      <c r="AB559" s="251"/>
      <c r="AC559" s="251"/>
      <c r="AD559" s="251"/>
      <c r="AE559" s="251"/>
      <c r="AF559" s="251"/>
      <c r="AG559" s="251"/>
      <c r="AH559" s="251"/>
      <c r="AI559" s="251"/>
      <c r="AJ559" s="251"/>
      <c r="AK559" s="251"/>
      <c r="AL559" s="251"/>
      <c r="AM559" s="251"/>
      <c r="AN559" s="251"/>
      <c r="AO559" s="251"/>
    </row>
    <row r="560" spans="2:41" x14ac:dyDescent="0.25">
      <c r="B560" s="251"/>
      <c r="C560" s="251"/>
      <c r="D560" s="251"/>
      <c r="E560" s="251"/>
      <c r="F560" s="251"/>
      <c r="G560" s="252"/>
      <c r="H560" s="253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  <c r="AA560" s="251"/>
      <c r="AB560" s="251"/>
      <c r="AC560" s="251"/>
      <c r="AD560" s="251"/>
      <c r="AE560" s="251"/>
      <c r="AF560" s="251"/>
      <c r="AG560" s="251"/>
      <c r="AH560" s="251"/>
      <c r="AI560" s="251"/>
      <c r="AJ560" s="251"/>
      <c r="AK560" s="251"/>
      <c r="AL560" s="251"/>
      <c r="AM560" s="251"/>
      <c r="AN560" s="251"/>
      <c r="AO560" s="251"/>
    </row>
    <row r="561" spans="2:41" x14ac:dyDescent="0.25">
      <c r="B561" s="251"/>
      <c r="C561" s="251"/>
      <c r="D561" s="251"/>
      <c r="E561" s="251"/>
      <c r="F561" s="251"/>
      <c r="G561" s="252"/>
      <c r="H561" s="253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  <c r="AA561" s="251"/>
      <c r="AB561" s="251"/>
      <c r="AC561" s="251"/>
      <c r="AD561" s="251"/>
      <c r="AE561" s="251"/>
      <c r="AF561" s="251"/>
      <c r="AG561" s="251"/>
      <c r="AH561" s="251"/>
      <c r="AI561" s="251"/>
      <c r="AJ561" s="251"/>
      <c r="AK561" s="251"/>
      <c r="AL561" s="251"/>
      <c r="AM561" s="251"/>
      <c r="AN561" s="251"/>
      <c r="AO561" s="251"/>
    </row>
    <row r="562" spans="2:41" x14ac:dyDescent="0.25">
      <c r="B562" s="251"/>
      <c r="C562" s="251"/>
      <c r="D562" s="251"/>
      <c r="E562" s="251"/>
      <c r="F562" s="251"/>
      <c r="G562" s="252"/>
      <c r="H562" s="253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  <c r="AA562" s="251"/>
      <c r="AB562" s="251"/>
      <c r="AC562" s="251"/>
      <c r="AD562" s="251"/>
      <c r="AE562" s="251"/>
      <c r="AF562" s="251"/>
      <c r="AG562" s="251"/>
      <c r="AH562" s="251"/>
      <c r="AI562" s="251"/>
      <c r="AJ562" s="251"/>
      <c r="AK562" s="251"/>
      <c r="AL562" s="251"/>
      <c r="AM562" s="251"/>
      <c r="AN562" s="251"/>
      <c r="AO562" s="251"/>
    </row>
    <row r="563" spans="2:41" x14ac:dyDescent="0.25">
      <c r="B563" s="251"/>
      <c r="C563" s="251"/>
      <c r="D563" s="251"/>
      <c r="E563" s="251"/>
      <c r="F563" s="251"/>
      <c r="G563" s="252"/>
      <c r="H563" s="253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  <c r="AA563" s="251"/>
      <c r="AB563" s="251"/>
      <c r="AC563" s="251"/>
      <c r="AD563" s="251"/>
      <c r="AE563" s="251"/>
      <c r="AF563" s="251"/>
      <c r="AG563" s="251"/>
      <c r="AH563" s="251"/>
      <c r="AI563" s="251"/>
      <c r="AJ563" s="251"/>
      <c r="AK563" s="251"/>
      <c r="AL563" s="251"/>
      <c r="AM563" s="251"/>
      <c r="AN563" s="251"/>
      <c r="AO563" s="251"/>
    </row>
    <row r="564" spans="2:41" x14ac:dyDescent="0.25">
      <c r="B564" s="251"/>
      <c r="C564" s="251"/>
      <c r="D564" s="251"/>
      <c r="E564" s="251"/>
      <c r="F564" s="251"/>
      <c r="G564" s="252"/>
      <c r="H564" s="253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  <c r="AA564" s="251"/>
      <c r="AB564" s="251"/>
      <c r="AC564" s="251"/>
      <c r="AD564" s="251"/>
      <c r="AE564" s="251"/>
      <c r="AF564" s="251"/>
      <c r="AG564" s="251"/>
      <c r="AH564" s="251"/>
      <c r="AI564" s="251"/>
      <c r="AJ564" s="251"/>
      <c r="AK564" s="251"/>
      <c r="AL564" s="251"/>
      <c r="AM564" s="251"/>
      <c r="AN564" s="251"/>
      <c r="AO564" s="251"/>
    </row>
    <row r="565" spans="2:41" x14ac:dyDescent="0.25">
      <c r="B565" s="251"/>
      <c r="C565" s="251"/>
      <c r="D565" s="251"/>
      <c r="E565" s="251"/>
      <c r="F565" s="251"/>
      <c r="G565" s="252"/>
      <c r="H565" s="253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  <c r="AA565" s="251"/>
      <c r="AB565" s="251"/>
      <c r="AC565" s="251"/>
      <c r="AD565" s="251"/>
      <c r="AE565" s="251"/>
      <c r="AF565" s="251"/>
      <c r="AG565" s="251"/>
      <c r="AH565" s="251"/>
      <c r="AI565" s="251"/>
      <c r="AJ565" s="251"/>
      <c r="AK565" s="251"/>
      <c r="AL565" s="251"/>
      <c r="AM565" s="251"/>
      <c r="AN565" s="251"/>
      <c r="AO565" s="251"/>
    </row>
    <row r="566" spans="2:41" x14ac:dyDescent="0.25">
      <c r="B566" s="251"/>
      <c r="C566" s="251"/>
      <c r="D566" s="251"/>
      <c r="E566" s="251"/>
      <c r="F566" s="251"/>
      <c r="G566" s="252"/>
      <c r="H566" s="253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  <c r="AA566" s="251"/>
      <c r="AB566" s="251"/>
      <c r="AC566" s="251"/>
      <c r="AD566" s="251"/>
      <c r="AE566" s="251"/>
      <c r="AF566" s="251"/>
      <c r="AG566" s="251"/>
      <c r="AH566" s="251"/>
      <c r="AI566" s="251"/>
      <c r="AJ566" s="251"/>
      <c r="AK566" s="251"/>
      <c r="AL566" s="251"/>
      <c r="AM566" s="251"/>
      <c r="AN566" s="251"/>
      <c r="AO566" s="251"/>
    </row>
    <row r="567" spans="2:41" x14ac:dyDescent="0.25">
      <c r="B567" s="251"/>
      <c r="C567" s="251"/>
      <c r="D567" s="251"/>
      <c r="E567" s="251"/>
      <c r="F567" s="251"/>
      <c r="G567" s="252"/>
      <c r="H567" s="253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  <c r="AA567" s="251"/>
      <c r="AB567" s="251"/>
      <c r="AC567" s="251"/>
      <c r="AD567" s="251"/>
      <c r="AE567" s="251"/>
      <c r="AF567" s="251"/>
      <c r="AG567" s="251"/>
      <c r="AH567" s="251"/>
      <c r="AI567" s="251"/>
      <c r="AJ567" s="251"/>
      <c r="AK567" s="251"/>
      <c r="AL567" s="251"/>
      <c r="AM567" s="251"/>
      <c r="AN567" s="251"/>
      <c r="AO567" s="251"/>
    </row>
    <row r="568" spans="2:41" x14ac:dyDescent="0.25">
      <c r="B568" s="251"/>
      <c r="C568" s="251"/>
      <c r="D568" s="251"/>
      <c r="E568" s="251"/>
      <c r="F568" s="251"/>
      <c r="G568" s="252"/>
      <c r="H568" s="253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  <c r="AA568" s="251"/>
      <c r="AB568" s="251"/>
      <c r="AC568" s="251"/>
      <c r="AD568" s="251"/>
      <c r="AE568" s="251"/>
      <c r="AF568" s="251"/>
      <c r="AG568" s="251"/>
      <c r="AH568" s="251"/>
      <c r="AI568" s="251"/>
      <c r="AJ568" s="251"/>
      <c r="AK568" s="251"/>
      <c r="AL568" s="251"/>
      <c r="AM568" s="251"/>
      <c r="AN568" s="251"/>
      <c r="AO568" s="251"/>
    </row>
    <row r="569" spans="2:41" x14ac:dyDescent="0.25">
      <c r="B569" s="251"/>
      <c r="C569" s="251"/>
      <c r="D569" s="251"/>
      <c r="E569" s="251"/>
      <c r="F569" s="251"/>
      <c r="G569" s="252"/>
      <c r="H569" s="253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  <c r="AA569" s="251"/>
      <c r="AB569" s="251"/>
      <c r="AC569" s="251"/>
      <c r="AD569" s="251"/>
      <c r="AE569" s="251"/>
      <c r="AF569" s="251"/>
      <c r="AG569" s="251"/>
      <c r="AH569" s="251"/>
      <c r="AI569" s="251"/>
      <c r="AJ569" s="251"/>
      <c r="AK569" s="251"/>
      <c r="AL569" s="251"/>
      <c r="AM569" s="251"/>
      <c r="AN569" s="251"/>
      <c r="AO569" s="251"/>
    </row>
    <row r="570" spans="2:41" x14ac:dyDescent="0.25">
      <c r="B570" s="251"/>
      <c r="C570" s="251"/>
      <c r="D570" s="251"/>
      <c r="E570" s="251"/>
      <c r="F570" s="251"/>
      <c r="G570" s="252"/>
      <c r="H570" s="253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  <c r="AA570" s="251"/>
      <c r="AB570" s="251"/>
      <c r="AC570" s="251"/>
      <c r="AD570" s="251"/>
      <c r="AE570" s="251"/>
      <c r="AF570" s="251"/>
      <c r="AG570" s="251"/>
      <c r="AH570" s="251"/>
      <c r="AI570" s="251"/>
      <c r="AJ570" s="251"/>
      <c r="AK570" s="251"/>
      <c r="AL570" s="251"/>
      <c r="AM570" s="251"/>
      <c r="AN570" s="251"/>
      <c r="AO570" s="251"/>
    </row>
    <row r="571" spans="2:41" x14ac:dyDescent="0.25">
      <c r="B571" s="251"/>
      <c r="C571" s="251"/>
      <c r="D571" s="251"/>
      <c r="E571" s="251"/>
      <c r="F571" s="251"/>
      <c r="G571" s="252"/>
      <c r="H571" s="253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  <c r="AA571" s="251"/>
      <c r="AB571" s="251"/>
      <c r="AC571" s="251"/>
      <c r="AD571" s="251"/>
      <c r="AE571" s="251"/>
      <c r="AF571" s="251"/>
      <c r="AG571" s="251"/>
      <c r="AH571" s="251"/>
      <c r="AI571" s="251"/>
      <c r="AJ571" s="251"/>
      <c r="AK571" s="251"/>
      <c r="AL571" s="251"/>
      <c r="AM571" s="251"/>
      <c r="AN571" s="251"/>
      <c r="AO571" s="251"/>
    </row>
    <row r="572" spans="2:41" x14ac:dyDescent="0.25">
      <c r="B572" s="251"/>
      <c r="C572" s="251"/>
      <c r="D572" s="251"/>
      <c r="E572" s="251"/>
      <c r="F572" s="251"/>
      <c r="G572" s="252"/>
      <c r="H572" s="253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  <c r="AA572" s="251"/>
      <c r="AB572" s="251"/>
      <c r="AC572" s="251"/>
      <c r="AD572" s="251"/>
      <c r="AE572" s="251"/>
      <c r="AF572" s="251"/>
      <c r="AG572" s="251"/>
      <c r="AH572" s="251"/>
      <c r="AI572" s="251"/>
      <c r="AJ572" s="251"/>
      <c r="AK572" s="251"/>
      <c r="AL572" s="251"/>
      <c r="AM572" s="251"/>
      <c r="AN572" s="251"/>
      <c r="AO572" s="251"/>
    </row>
    <row r="573" spans="2:41" x14ac:dyDescent="0.25">
      <c r="B573" s="251"/>
      <c r="C573" s="251"/>
      <c r="D573" s="251"/>
      <c r="E573" s="251"/>
      <c r="F573" s="251"/>
      <c r="G573" s="252"/>
      <c r="H573" s="253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  <c r="AA573" s="251"/>
      <c r="AB573" s="251"/>
      <c r="AC573" s="251"/>
      <c r="AD573" s="251"/>
      <c r="AE573" s="251"/>
      <c r="AF573" s="251"/>
      <c r="AG573" s="251"/>
      <c r="AH573" s="251"/>
      <c r="AI573" s="251"/>
      <c r="AJ573" s="251"/>
      <c r="AK573" s="251"/>
      <c r="AL573" s="251"/>
      <c r="AM573" s="251"/>
      <c r="AN573" s="251"/>
      <c r="AO573" s="251"/>
    </row>
    <row r="574" spans="2:41" x14ac:dyDescent="0.25">
      <c r="B574" s="251"/>
      <c r="C574" s="251"/>
      <c r="D574" s="251"/>
      <c r="E574" s="251"/>
      <c r="F574" s="251"/>
      <c r="G574" s="252"/>
      <c r="H574" s="253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  <c r="AA574" s="251"/>
      <c r="AB574" s="251"/>
      <c r="AC574" s="251"/>
      <c r="AD574" s="251"/>
      <c r="AE574" s="251"/>
      <c r="AF574" s="251"/>
      <c r="AG574" s="251"/>
      <c r="AH574" s="251"/>
      <c r="AI574" s="251"/>
      <c r="AJ574" s="251"/>
      <c r="AK574" s="251"/>
      <c r="AL574" s="251"/>
      <c r="AM574" s="251"/>
      <c r="AN574" s="251"/>
      <c r="AO574" s="251"/>
    </row>
    <row r="575" spans="2:41" x14ac:dyDescent="0.25">
      <c r="B575" s="251"/>
      <c r="C575" s="251"/>
      <c r="D575" s="251"/>
      <c r="E575" s="251"/>
      <c r="F575" s="251"/>
      <c r="G575" s="252"/>
      <c r="H575" s="253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  <c r="AA575" s="251"/>
      <c r="AB575" s="251"/>
      <c r="AC575" s="251"/>
      <c r="AD575" s="251"/>
      <c r="AE575" s="251"/>
      <c r="AF575" s="251"/>
      <c r="AG575" s="251"/>
      <c r="AH575" s="251"/>
      <c r="AI575" s="251"/>
      <c r="AJ575" s="251"/>
      <c r="AK575" s="251"/>
      <c r="AL575" s="251"/>
      <c r="AM575" s="251"/>
      <c r="AN575" s="251"/>
      <c r="AO575" s="251"/>
    </row>
    <row r="576" spans="2:41" x14ac:dyDescent="0.25">
      <c r="B576" s="251"/>
      <c r="C576" s="251"/>
      <c r="D576" s="251"/>
      <c r="E576" s="251"/>
      <c r="F576" s="251"/>
      <c r="G576" s="252"/>
      <c r="H576" s="253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1"/>
      <c r="AG576" s="251"/>
      <c r="AH576" s="251"/>
      <c r="AI576" s="251"/>
      <c r="AJ576" s="251"/>
      <c r="AK576" s="251"/>
      <c r="AL576" s="251"/>
      <c r="AM576" s="251"/>
      <c r="AN576" s="251"/>
      <c r="AO576" s="251"/>
    </row>
    <row r="577" spans="2:41" x14ac:dyDescent="0.25">
      <c r="B577" s="251"/>
      <c r="C577" s="251"/>
      <c r="D577" s="251"/>
      <c r="E577" s="251"/>
      <c r="F577" s="251"/>
      <c r="G577" s="252"/>
      <c r="H577" s="253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  <c r="AA577" s="251"/>
      <c r="AB577" s="251"/>
      <c r="AC577" s="251"/>
      <c r="AD577" s="251"/>
      <c r="AE577" s="251"/>
      <c r="AF577" s="251"/>
      <c r="AG577" s="251"/>
      <c r="AH577" s="251"/>
      <c r="AI577" s="251"/>
      <c r="AJ577" s="251"/>
      <c r="AK577" s="251"/>
      <c r="AL577" s="251"/>
      <c r="AM577" s="251"/>
      <c r="AN577" s="251"/>
      <c r="AO577" s="251"/>
    </row>
    <row r="578" spans="2:41" x14ac:dyDescent="0.25">
      <c r="B578" s="251"/>
      <c r="C578" s="251"/>
      <c r="D578" s="251"/>
      <c r="E578" s="251"/>
      <c r="F578" s="251"/>
      <c r="G578" s="252"/>
      <c r="H578" s="253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  <c r="AA578" s="251"/>
      <c r="AB578" s="251"/>
      <c r="AC578" s="251"/>
      <c r="AD578" s="251"/>
      <c r="AE578" s="251"/>
      <c r="AF578" s="251"/>
      <c r="AG578" s="251"/>
      <c r="AH578" s="251"/>
      <c r="AI578" s="251"/>
      <c r="AJ578" s="251"/>
      <c r="AK578" s="251"/>
      <c r="AL578" s="251"/>
      <c r="AM578" s="251"/>
      <c r="AN578" s="251"/>
      <c r="AO578" s="251"/>
    </row>
    <row r="579" spans="2:41" x14ac:dyDescent="0.25">
      <c r="B579" s="251"/>
      <c r="C579" s="251"/>
      <c r="D579" s="251"/>
      <c r="E579" s="251"/>
      <c r="F579" s="251"/>
      <c r="G579" s="252"/>
      <c r="H579" s="253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  <c r="AA579" s="251"/>
      <c r="AB579" s="251"/>
      <c r="AC579" s="251"/>
      <c r="AD579" s="251"/>
      <c r="AE579" s="251"/>
      <c r="AF579" s="251"/>
      <c r="AG579" s="251"/>
      <c r="AH579" s="251"/>
      <c r="AI579" s="251"/>
      <c r="AJ579" s="251"/>
      <c r="AK579" s="251"/>
      <c r="AL579" s="251"/>
      <c r="AM579" s="251"/>
      <c r="AN579" s="251"/>
      <c r="AO579" s="251"/>
    </row>
    <row r="580" spans="2:41" x14ac:dyDescent="0.25">
      <c r="B580" s="251"/>
      <c r="C580" s="251"/>
      <c r="D580" s="251"/>
      <c r="E580" s="251"/>
      <c r="F580" s="251"/>
      <c r="G580" s="252"/>
      <c r="H580" s="253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  <c r="AA580" s="251"/>
      <c r="AB580" s="251"/>
      <c r="AC580" s="251"/>
      <c r="AD580" s="251"/>
      <c r="AE580" s="251"/>
      <c r="AF580" s="251"/>
      <c r="AG580" s="251"/>
      <c r="AH580" s="251"/>
      <c r="AI580" s="251"/>
      <c r="AJ580" s="251"/>
      <c r="AK580" s="251"/>
      <c r="AL580" s="251"/>
      <c r="AM580" s="251"/>
      <c r="AN580" s="251"/>
      <c r="AO580" s="251"/>
    </row>
    <row r="581" spans="2:41" x14ac:dyDescent="0.25">
      <c r="B581" s="251"/>
      <c r="C581" s="251"/>
      <c r="D581" s="251"/>
      <c r="E581" s="251"/>
      <c r="F581" s="251"/>
      <c r="G581" s="252"/>
      <c r="H581" s="253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  <c r="AA581" s="251"/>
      <c r="AB581" s="251"/>
      <c r="AC581" s="251"/>
      <c r="AD581" s="251"/>
      <c r="AE581" s="251"/>
      <c r="AF581" s="251"/>
      <c r="AG581" s="251"/>
      <c r="AH581" s="251"/>
      <c r="AI581" s="251"/>
      <c r="AJ581" s="251"/>
      <c r="AK581" s="251"/>
      <c r="AL581" s="251"/>
      <c r="AM581" s="251"/>
      <c r="AN581" s="251"/>
      <c r="AO581" s="251"/>
    </row>
    <row r="582" spans="2:41" x14ac:dyDescent="0.25">
      <c r="B582" s="251"/>
      <c r="C582" s="251"/>
      <c r="D582" s="251"/>
      <c r="E582" s="251"/>
      <c r="F582" s="251"/>
      <c r="G582" s="252"/>
      <c r="H582" s="253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  <c r="AA582" s="251"/>
      <c r="AB582" s="251"/>
      <c r="AC582" s="251"/>
      <c r="AD582" s="251"/>
      <c r="AE582" s="251"/>
      <c r="AF582" s="251"/>
      <c r="AG582" s="251"/>
      <c r="AH582" s="251"/>
      <c r="AI582" s="251"/>
      <c r="AJ582" s="251"/>
      <c r="AK582" s="251"/>
      <c r="AL582" s="251"/>
      <c r="AM582" s="251"/>
      <c r="AN582" s="251"/>
      <c r="AO582" s="251"/>
    </row>
    <row r="583" spans="2:41" x14ac:dyDescent="0.25">
      <c r="B583" s="251"/>
      <c r="C583" s="251"/>
      <c r="D583" s="251"/>
      <c r="E583" s="251"/>
      <c r="F583" s="251"/>
      <c r="G583" s="252"/>
      <c r="H583" s="253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  <c r="AA583" s="251"/>
      <c r="AB583" s="251"/>
      <c r="AC583" s="251"/>
      <c r="AD583" s="251"/>
      <c r="AE583" s="251"/>
      <c r="AF583" s="251"/>
      <c r="AG583" s="251"/>
      <c r="AH583" s="251"/>
      <c r="AI583" s="251"/>
      <c r="AJ583" s="251"/>
      <c r="AK583" s="251"/>
      <c r="AL583" s="251"/>
      <c r="AM583" s="251"/>
      <c r="AN583" s="251"/>
      <c r="AO583" s="251"/>
    </row>
    <row r="584" spans="2:41" x14ac:dyDescent="0.25">
      <c r="B584" s="251"/>
      <c r="C584" s="251"/>
      <c r="D584" s="251"/>
      <c r="E584" s="251"/>
      <c r="F584" s="251"/>
      <c r="G584" s="252"/>
      <c r="H584" s="253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  <c r="AA584" s="251"/>
      <c r="AB584" s="251"/>
      <c r="AC584" s="251"/>
      <c r="AD584" s="251"/>
      <c r="AE584" s="251"/>
      <c r="AF584" s="251"/>
      <c r="AG584" s="251"/>
      <c r="AH584" s="251"/>
      <c r="AI584" s="251"/>
      <c r="AJ584" s="251"/>
      <c r="AK584" s="251"/>
      <c r="AL584" s="251"/>
      <c r="AM584" s="251"/>
      <c r="AN584" s="251"/>
      <c r="AO584" s="251"/>
    </row>
    <row r="585" spans="2:41" x14ac:dyDescent="0.25">
      <c r="B585" s="251"/>
      <c r="C585" s="251"/>
      <c r="D585" s="251"/>
      <c r="E585" s="251"/>
      <c r="F585" s="251"/>
      <c r="G585" s="252"/>
      <c r="H585" s="253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  <c r="AA585" s="251"/>
      <c r="AB585" s="251"/>
      <c r="AC585" s="251"/>
      <c r="AD585" s="251"/>
      <c r="AE585" s="251"/>
      <c r="AF585" s="251"/>
      <c r="AG585" s="251"/>
      <c r="AH585" s="251"/>
      <c r="AI585" s="251"/>
      <c r="AJ585" s="251"/>
      <c r="AK585" s="251"/>
      <c r="AL585" s="251"/>
      <c r="AM585" s="251"/>
      <c r="AN585" s="251"/>
      <c r="AO585" s="251"/>
    </row>
    <row r="586" spans="2:41" x14ac:dyDescent="0.25">
      <c r="B586" s="251"/>
      <c r="C586" s="251"/>
      <c r="D586" s="251"/>
      <c r="E586" s="251"/>
      <c r="F586" s="251"/>
      <c r="G586" s="252"/>
      <c r="H586" s="253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  <c r="AA586" s="251"/>
      <c r="AB586" s="251"/>
      <c r="AC586" s="251"/>
      <c r="AD586" s="251"/>
      <c r="AE586" s="251"/>
      <c r="AF586" s="251"/>
      <c r="AG586" s="251"/>
      <c r="AH586" s="251"/>
      <c r="AI586" s="251"/>
      <c r="AJ586" s="251"/>
      <c r="AK586" s="251"/>
      <c r="AL586" s="251"/>
      <c r="AM586" s="251"/>
      <c r="AN586" s="251"/>
      <c r="AO586" s="251"/>
    </row>
    <row r="587" spans="2:41" x14ac:dyDescent="0.25">
      <c r="B587" s="251"/>
      <c r="C587" s="251"/>
      <c r="D587" s="251"/>
      <c r="E587" s="251"/>
      <c r="F587" s="251"/>
      <c r="G587" s="252"/>
      <c r="H587" s="253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  <c r="AA587" s="251"/>
      <c r="AB587" s="251"/>
      <c r="AC587" s="251"/>
      <c r="AD587" s="251"/>
      <c r="AE587" s="251"/>
      <c r="AF587" s="251"/>
      <c r="AG587" s="251"/>
      <c r="AH587" s="251"/>
      <c r="AI587" s="251"/>
      <c r="AJ587" s="251"/>
      <c r="AK587" s="251"/>
      <c r="AL587" s="251"/>
      <c r="AM587" s="251"/>
      <c r="AN587" s="251"/>
      <c r="AO587" s="251"/>
    </row>
    <row r="588" spans="2:41" x14ac:dyDescent="0.25">
      <c r="B588" s="251"/>
      <c r="C588" s="251"/>
      <c r="D588" s="251"/>
      <c r="E588" s="251"/>
      <c r="F588" s="251"/>
      <c r="G588" s="252"/>
      <c r="H588" s="253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  <c r="AA588" s="251"/>
      <c r="AB588" s="251"/>
      <c r="AC588" s="251"/>
      <c r="AD588" s="251"/>
      <c r="AE588" s="251"/>
      <c r="AF588" s="251"/>
      <c r="AG588" s="251"/>
      <c r="AH588" s="251"/>
      <c r="AI588" s="251"/>
      <c r="AJ588" s="251"/>
      <c r="AK588" s="251"/>
      <c r="AL588" s="251"/>
      <c r="AM588" s="251"/>
      <c r="AN588" s="251"/>
      <c r="AO588" s="251"/>
    </row>
    <row r="589" spans="2:41" x14ac:dyDescent="0.25">
      <c r="B589" s="251"/>
      <c r="C589" s="251"/>
      <c r="D589" s="251"/>
      <c r="E589" s="251"/>
      <c r="F589" s="251"/>
      <c r="G589" s="252"/>
      <c r="H589" s="253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  <c r="AA589" s="251"/>
      <c r="AB589" s="251"/>
      <c r="AC589" s="251"/>
      <c r="AD589" s="251"/>
      <c r="AE589" s="251"/>
      <c r="AF589" s="251"/>
      <c r="AG589" s="251"/>
      <c r="AH589" s="251"/>
      <c r="AI589" s="251"/>
      <c r="AJ589" s="251"/>
      <c r="AK589" s="251"/>
      <c r="AL589" s="251"/>
      <c r="AM589" s="251"/>
      <c r="AN589" s="251"/>
      <c r="AO589" s="251"/>
    </row>
    <row r="590" spans="2:41" x14ac:dyDescent="0.25">
      <c r="B590" s="251"/>
      <c r="C590" s="251"/>
      <c r="D590" s="251"/>
      <c r="E590" s="251"/>
      <c r="F590" s="251"/>
      <c r="G590" s="252"/>
      <c r="H590" s="253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  <c r="AA590" s="251"/>
      <c r="AB590" s="251"/>
      <c r="AC590" s="251"/>
      <c r="AD590" s="251"/>
      <c r="AE590" s="251"/>
      <c r="AF590" s="251"/>
      <c r="AG590" s="251"/>
      <c r="AH590" s="251"/>
      <c r="AI590" s="251"/>
      <c r="AJ590" s="251"/>
      <c r="AK590" s="251"/>
      <c r="AL590" s="251"/>
      <c r="AM590" s="251"/>
      <c r="AN590" s="251"/>
      <c r="AO590" s="251"/>
    </row>
    <row r="591" spans="2:41" x14ac:dyDescent="0.25">
      <c r="B591" s="251"/>
      <c r="C591" s="251"/>
      <c r="D591" s="251"/>
      <c r="E591" s="251"/>
      <c r="F591" s="251"/>
      <c r="G591" s="252"/>
      <c r="H591" s="253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  <c r="AA591" s="251"/>
      <c r="AB591" s="251"/>
      <c r="AC591" s="251"/>
      <c r="AD591" s="251"/>
      <c r="AE591" s="251"/>
      <c r="AF591" s="251"/>
      <c r="AG591" s="251"/>
      <c r="AH591" s="251"/>
      <c r="AI591" s="251"/>
      <c r="AJ591" s="251"/>
      <c r="AK591" s="251"/>
      <c r="AL591" s="251"/>
      <c r="AM591" s="251"/>
      <c r="AN591" s="251"/>
      <c r="AO591" s="251"/>
    </row>
    <row r="592" spans="2:41" x14ac:dyDescent="0.25">
      <c r="B592" s="251"/>
      <c r="C592" s="251"/>
      <c r="D592" s="251"/>
      <c r="E592" s="251"/>
      <c r="F592" s="251"/>
      <c r="G592" s="252"/>
      <c r="H592" s="253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  <c r="AA592" s="251"/>
      <c r="AB592" s="251"/>
      <c r="AC592" s="251"/>
      <c r="AD592" s="251"/>
      <c r="AE592" s="251"/>
      <c r="AF592" s="251"/>
      <c r="AG592" s="251"/>
      <c r="AH592" s="251"/>
      <c r="AI592" s="251"/>
      <c r="AJ592" s="251"/>
      <c r="AK592" s="251"/>
      <c r="AL592" s="251"/>
      <c r="AM592" s="251"/>
      <c r="AN592" s="251"/>
      <c r="AO592" s="251"/>
    </row>
    <row r="593" spans="2:41" x14ac:dyDescent="0.25">
      <c r="B593" s="251"/>
      <c r="C593" s="251"/>
      <c r="D593" s="251"/>
      <c r="E593" s="251"/>
      <c r="F593" s="251"/>
      <c r="G593" s="252"/>
      <c r="H593" s="253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  <c r="AA593" s="251"/>
      <c r="AB593" s="251"/>
      <c r="AC593" s="251"/>
      <c r="AD593" s="251"/>
      <c r="AE593" s="251"/>
      <c r="AF593" s="251"/>
      <c r="AG593" s="251"/>
      <c r="AH593" s="251"/>
      <c r="AI593" s="251"/>
      <c r="AJ593" s="251"/>
      <c r="AK593" s="251"/>
      <c r="AL593" s="251"/>
      <c r="AM593" s="251"/>
      <c r="AN593" s="251"/>
      <c r="AO593" s="251"/>
    </row>
    <row r="594" spans="2:41" x14ac:dyDescent="0.25">
      <c r="B594" s="251"/>
      <c r="C594" s="251"/>
      <c r="D594" s="251"/>
      <c r="E594" s="251"/>
      <c r="F594" s="251"/>
      <c r="G594" s="252"/>
      <c r="H594" s="253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  <c r="AA594" s="251"/>
      <c r="AB594" s="251"/>
      <c r="AC594" s="251"/>
      <c r="AD594" s="251"/>
      <c r="AE594" s="251"/>
      <c r="AF594" s="251"/>
      <c r="AG594" s="251"/>
      <c r="AH594" s="251"/>
      <c r="AI594" s="251"/>
      <c r="AJ594" s="251"/>
      <c r="AK594" s="251"/>
      <c r="AL594" s="251"/>
      <c r="AM594" s="251"/>
      <c r="AN594" s="251"/>
      <c r="AO594" s="251"/>
    </row>
    <row r="595" spans="2:41" x14ac:dyDescent="0.25">
      <c r="B595" s="251"/>
      <c r="C595" s="251"/>
      <c r="D595" s="251"/>
      <c r="E595" s="251"/>
      <c r="F595" s="251"/>
      <c r="G595" s="252"/>
      <c r="H595" s="253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  <c r="AA595" s="251"/>
      <c r="AB595" s="251"/>
      <c r="AC595" s="251"/>
      <c r="AD595" s="251"/>
      <c r="AE595" s="251"/>
      <c r="AF595" s="251"/>
      <c r="AG595" s="251"/>
      <c r="AH595" s="251"/>
      <c r="AI595" s="251"/>
      <c r="AJ595" s="251"/>
      <c r="AK595" s="251"/>
      <c r="AL595" s="251"/>
      <c r="AM595" s="251"/>
      <c r="AN595" s="251"/>
      <c r="AO595" s="251"/>
    </row>
    <row r="596" spans="2:41" x14ac:dyDescent="0.25">
      <c r="B596" s="251"/>
      <c r="C596" s="251"/>
      <c r="D596" s="251"/>
      <c r="E596" s="251"/>
      <c r="F596" s="251"/>
      <c r="G596" s="252"/>
      <c r="H596" s="253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  <c r="AA596" s="251"/>
      <c r="AB596" s="251"/>
      <c r="AC596" s="251"/>
      <c r="AD596" s="251"/>
      <c r="AE596" s="251"/>
      <c r="AF596" s="251"/>
      <c r="AG596" s="251"/>
      <c r="AH596" s="251"/>
      <c r="AI596" s="251"/>
      <c r="AJ596" s="251"/>
      <c r="AK596" s="251"/>
      <c r="AL596" s="251"/>
      <c r="AM596" s="251"/>
      <c r="AN596" s="251"/>
      <c r="AO596" s="251"/>
    </row>
    <row r="597" spans="2:41" x14ac:dyDescent="0.25">
      <c r="B597" s="251"/>
      <c r="C597" s="251"/>
      <c r="D597" s="251"/>
      <c r="E597" s="251"/>
      <c r="F597" s="251"/>
      <c r="G597" s="252"/>
      <c r="H597" s="253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  <c r="AA597" s="251"/>
      <c r="AB597" s="251"/>
      <c r="AC597" s="251"/>
      <c r="AD597" s="251"/>
      <c r="AE597" s="251"/>
      <c r="AF597" s="251"/>
      <c r="AG597" s="251"/>
      <c r="AH597" s="251"/>
      <c r="AI597" s="251"/>
      <c r="AJ597" s="251"/>
      <c r="AK597" s="251"/>
      <c r="AL597" s="251"/>
      <c r="AM597" s="251"/>
      <c r="AN597" s="251"/>
      <c r="AO597" s="251"/>
    </row>
    <row r="598" spans="2:41" x14ac:dyDescent="0.25">
      <c r="B598" s="251"/>
      <c r="C598" s="251"/>
      <c r="D598" s="251"/>
      <c r="E598" s="251"/>
      <c r="F598" s="251"/>
      <c r="G598" s="252"/>
      <c r="H598" s="253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  <c r="AA598" s="251"/>
      <c r="AB598" s="251"/>
      <c r="AC598" s="251"/>
      <c r="AD598" s="251"/>
      <c r="AE598" s="251"/>
      <c r="AF598" s="251"/>
      <c r="AG598" s="251"/>
      <c r="AH598" s="251"/>
      <c r="AI598" s="251"/>
      <c r="AJ598" s="251"/>
      <c r="AK598" s="251"/>
      <c r="AL598" s="251"/>
      <c r="AM598" s="251"/>
      <c r="AN598" s="251"/>
      <c r="AO598" s="251"/>
    </row>
    <row r="599" spans="2:41" x14ac:dyDescent="0.25">
      <c r="B599" s="251"/>
      <c r="C599" s="251"/>
      <c r="D599" s="251"/>
      <c r="E599" s="251"/>
      <c r="F599" s="251"/>
      <c r="G599" s="252"/>
      <c r="H599" s="253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  <c r="AA599" s="251"/>
      <c r="AB599" s="251"/>
      <c r="AC599" s="251"/>
      <c r="AD599" s="251"/>
      <c r="AE599" s="251"/>
      <c r="AF599" s="251"/>
      <c r="AG599" s="251"/>
      <c r="AH599" s="251"/>
      <c r="AI599" s="251"/>
      <c r="AJ599" s="251"/>
      <c r="AK599" s="251"/>
      <c r="AL599" s="251"/>
      <c r="AM599" s="251"/>
      <c r="AN599" s="251"/>
      <c r="AO599" s="251"/>
    </row>
    <row r="600" spans="2:41" x14ac:dyDescent="0.25">
      <c r="B600" s="251"/>
      <c r="C600" s="251"/>
      <c r="D600" s="251"/>
      <c r="E600" s="251"/>
      <c r="F600" s="251"/>
      <c r="G600" s="252"/>
      <c r="H600" s="253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  <c r="AA600" s="251"/>
      <c r="AB600" s="251"/>
      <c r="AC600" s="251"/>
      <c r="AD600" s="251"/>
      <c r="AE600" s="251"/>
      <c r="AF600" s="251"/>
      <c r="AG600" s="251"/>
      <c r="AH600" s="251"/>
      <c r="AI600" s="251"/>
      <c r="AJ600" s="251"/>
      <c r="AK600" s="251"/>
      <c r="AL600" s="251"/>
      <c r="AM600" s="251"/>
      <c r="AN600" s="251"/>
      <c r="AO600" s="251"/>
    </row>
    <row r="601" spans="2:41" x14ac:dyDescent="0.25">
      <c r="B601" s="251"/>
      <c r="C601" s="251"/>
      <c r="D601" s="251"/>
      <c r="E601" s="251"/>
      <c r="F601" s="251"/>
      <c r="G601" s="252"/>
      <c r="H601" s="253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  <c r="AA601" s="251"/>
      <c r="AB601" s="251"/>
      <c r="AC601" s="251"/>
      <c r="AD601" s="251"/>
      <c r="AE601" s="251"/>
      <c r="AF601" s="251"/>
      <c r="AG601" s="251"/>
      <c r="AH601" s="251"/>
      <c r="AI601" s="251"/>
      <c r="AJ601" s="251"/>
      <c r="AK601" s="251"/>
      <c r="AL601" s="251"/>
      <c r="AM601" s="251"/>
      <c r="AN601" s="251"/>
      <c r="AO601" s="251"/>
    </row>
    <row r="602" spans="2:41" x14ac:dyDescent="0.25">
      <c r="B602" s="251"/>
      <c r="C602" s="251"/>
      <c r="D602" s="251"/>
      <c r="E602" s="251"/>
      <c r="F602" s="251"/>
      <c r="G602" s="252"/>
      <c r="H602" s="253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  <c r="AA602" s="251"/>
      <c r="AB602" s="251"/>
      <c r="AC602" s="251"/>
      <c r="AD602" s="251"/>
      <c r="AE602" s="251"/>
      <c r="AF602" s="251"/>
      <c r="AG602" s="251"/>
      <c r="AH602" s="251"/>
      <c r="AI602" s="251"/>
      <c r="AJ602" s="251"/>
      <c r="AK602" s="251"/>
      <c r="AL602" s="251"/>
      <c r="AM602" s="251"/>
      <c r="AN602" s="251"/>
      <c r="AO602" s="251"/>
    </row>
    <row r="603" spans="2:41" x14ac:dyDescent="0.25">
      <c r="B603" s="251"/>
      <c r="C603" s="251"/>
      <c r="D603" s="251"/>
      <c r="E603" s="251"/>
      <c r="F603" s="251"/>
      <c r="G603" s="252"/>
      <c r="H603" s="253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  <c r="AA603" s="251"/>
      <c r="AB603" s="251"/>
      <c r="AC603" s="251"/>
      <c r="AD603" s="251"/>
      <c r="AE603" s="251"/>
      <c r="AF603" s="251"/>
      <c r="AG603" s="251"/>
      <c r="AH603" s="251"/>
      <c r="AI603" s="251"/>
      <c r="AJ603" s="251"/>
      <c r="AK603" s="251"/>
      <c r="AL603" s="251"/>
      <c r="AM603" s="251"/>
      <c r="AN603" s="251"/>
      <c r="AO603" s="251"/>
    </row>
    <row r="604" spans="2:41" x14ac:dyDescent="0.25">
      <c r="B604" s="251"/>
      <c r="C604" s="251"/>
      <c r="D604" s="251"/>
      <c r="E604" s="251"/>
      <c r="F604" s="251"/>
      <c r="G604" s="252"/>
      <c r="H604" s="253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  <c r="AA604" s="251"/>
      <c r="AB604" s="251"/>
      <c r="AC604" s="251"/>
      <c r="AD604" s="251"/>
      <c r="AE604" s="251"/>
      <c r="AF604" s="251"/>
      <c r="AG604" s="251"/>
      <c r="AH604" s="251"/>
      <c r="AI604" s="251"/>
      <c r="AJ604" s="251"/>
      <c r="AK604" s="251"/>
      <c r="AL604" s="251"/>
      <c r="AM604" s="251"/>
      <c r="AN604" s="251"/>
      <c r="AO604" s="251"/>
    </row>
    <row r="605" spans="2:41" x14ac:dyDescent="0.25">
      <c r="B605" s="251"/>
      <c r="C605" s="251"/>
      <c r="D605" s="251"/>
      <c r="E605" s="251"/>
      <c r="F605" s="251"/>
      <c r="G605" s="252"/>
      <c r="H605" s="253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  <c r="AA605" s="251"/>
      <c r="AB605" s="251"/>
      <c r="AC605" s="251"/>
      <c r="AD605" s="251"/>
      <c r="AE605" s="251"/>
      <c r="AF605" s="251"/>
      <c r="AG605" s="251"/>
      <c r="AH605" s="251"/>
      <c r="AI605" s="251"/>
      <c r="AJ605" s="251"/>
      <c r="AK605" s="251"/>
      <c r="AL605" s="251"/>
      <c r="AM605" s="251"/>
      <c r="AN605" s="251"/>
      <c r="AO605" s="251"/>
    </row>
    <row r="606" spans="2:41" x14ac:dyDescent="0.25">
      <c r="B606" s="251"/>
      <c r="C606" s="251"/>
      <c r="D606" s="251"/>
      <c r="E606" s="251"/>
      <c r="F606" s="251"/>
      <c r="G606" s="252"/>
      <c r="H606" s="253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  <c r="AA606" s="251"/>
      <c r="AB606" s="251"/>
      <c r="AC606" s="251"/>
      <c r="AD606" s="251"/>
      <c r="AE606" s="251"/>
      <c r="AF606" s="251"/>
      <c r="AG606" s="251"/>
      <c r="AH606" s="251"/>
      <c r="AI606" s="251"/>
      <c r="AJ606" s="251"/>
      <c r="AK606" s="251"/>
      <c r="AL606" s="251"/>
      <c r="AM606" s="251"/>
      <c r="AN606" s="251"/>
      <c r="AO606" s="251"/>
    </row>
    <row r="607" spans="2:41" x14ac:dyDescent="0.25">
      <c r="B607" s="251"/>
      <c r="C607" s="251"/>
      <c r="D607" s="251"/>
      <c r="E607" s="251"/>
      <c r="F607" s="251"/>
      <c r="G607" s="252"/>
      <c r="H607" s="253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  <c r="AA607" s="251"/>
      <c r="AB607" s="251"/>
      <c r="AC607" s="251"/>
      <c r="AD607" s="251"/>
      <c r="AE607" s="251"/>
      <c r="AF607" s="251"/>
      <c r="AG607" s="251"/>
      <c r="AH607" s="251"/>
      <c r="AI607" s="251"/>
      <c r="AJ607" s="251"/>
      <c r="AK607" s="251"/>
      <c r="AL607" s="251"/>
      <c r="AM607" s="251"/>
      <c r="AN607" s="251"/>
      <c r="AO607" s="251"/>
    </row>
    <row r="608" spans="2:41" x14ac:dyDescent="0.25">
      <c r="B608" s="251"/>
      <c r="C608" s="251"/>
      <c r="D608" s="251"/>
      <c r="E608" s="251"/>
      <c r="F608" s="251"/>
      <c r="G608" s="252"/>
      <c r="H608" s="253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  <c r="AA608" s="251"/>
      <c r="AB608" s="251"/>
      <c r="AC608" s="251"/>
      <c r="AD608" s="251"/>
      <c r="AE608" s="251"/>
      <c r="AF608" s="251"/>
      <c r="AG608" s="251"/>
      <c r="AH608" s="251"/>
      <c r="AI608" s="251"/>
      <c r="AJ608" s="251"/>
      <c r="AK608" s="251"/>
      <c r="AL608" s="251"/>
      <c r="AM608" s="251"/>
      <c r="AN608" s="251"/>
      <c r="AO608" s="251"/>
    </row>
    <row r="609" spans="2:41" x14ac:dyDescent="0.25">
      <c r="B609" s="251"/>
      <c r="C609" s="251"/>
      <c r="D609" s="251"/>
      <c r="E609" s="251"/>
      <c r="F609" s="251"/>
      <c r="G609" s="252"/>
      <c r="H609" s="253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  <c r="AA609" s="251"/>
      <c r="AB609" s="251"/>
      <c r="AC609" s="251"/>
      <c r="AD609" s="251"/>
      <c r="AE609" s="251"/>
      <c r="AF609" s="251"/>
      <c r="AG609" s="251"/>
      <c r="AH609" s="251"/>
      <c r="AI609" s="251"/>
      <c r="AJ609" s="251"/>
      <c r="AK609" s="251"/>
      <c r="AL609" s="251"/>
      <c r="AM609" s="251"/>
      <c r="AN609" s="251"/>
      <c r="AO609" s="251"/>
    </row>
    <row r="610" spans="2:41" x14ac:dyDescent="0.25">
      <c r="B610" s="251"/>
      <c r="C610" s="251"/>
      <c r="D610" s="251"/>
      <c r="E610" s="251"/>
      <c r="F610" s="251"/>
      <c r="G610" s="252"/>
      <c r="H610" s="253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  <c r="AA610" s="251"/>
      <c r="AB610" s="251"/>
      <c r="AC610" s="251"/>
      <c r="AD610" s="251"/>
      <c r="AE610" s="251"/>
      <c r="AF610" s="251"/>
      <c r="AG610" s="251"/>
      <c r="AH610" s="251"/>
      <c r="AI610" s="251"/>
      <c r="AJ610" s="251"/>
      <c r="AK610" s="251"/>
      <c r="AL610" s="251"/>
      <c r="AM610" s="251"/>
      <c r="AN610" s="251"/>
      <c r="AO610" s="251"/>
    </row>
    <row r="611" spans="2:41" x14ac:dyDescent="0.25">
      <c r="B611" s="251"/>
      <c r="C611" s="251"/>
      <c r="D611" s="251"/>
      <c r="E611" s="251"/>
      <c r="F611" s="251"/>
      <c r="G611" s="252"/>
      <c r="H611" s="253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  <c r="AA611" s="251"/>
      <c r="AB611" s="251"/>
      <c r="AC611" s="251"/>
      <c r="AD611" s="251"/>
      <c r="AE611" s="251"/>
      <c r="AF611" s="251"/>
      <c r="AG611" s="251"/>
      <c r="AH611" s="251"/>
      <c r="AI611" s="251"/>
      <c r="AJ611" s="251"/>
      <c r="AK611" s="251"/>
      <c r="AL611" s="251"/>
      <c r="AM611" s="251"/>
      <c r="AN611" s="251"/>
      <c r="AO611" s="251"/>
    </row>
    <row r="612" spans="2:41" x14ac:dyDescent="0.25">
      <c r="B612" s="251"/>
      <c r="C612" s="251"/>
      <c r="D612" s="251"/>
      <c r="E612" s="251"/>
      <c r="F612" s="251"/>
      <c r="G612" s="252"/>
      <c r="H612" s="253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  <c r="AA612" s="251"/>
      <c r="AB612" s="251"/>
      <c r="AC612" s="251"/>
      <c r="AD612" s="251"/>
      <c r="AE612" s="251"/>
      <c r="AF612" s="251"/>
      <c r="AG612" s="251"/>
      <c r="AH612" s="251"/>
      <c r="AI612" s="251"/>
      <c r="AJ612" s="251"/>
      <c r="AK612" s="251"/>
      <c r="AL612" s="251"/>
      <c r="AM612" s="251"/>
      <c r="AN612" s="251"/>
      <c r="AO612" s="251"/>
    </row>
    <row r="613" spans="2:41" x14ac:dyDescent="0.25">
      <c r="B613" s="251"/>
      <c r="C613" s="251"/>
      <c r="D613" s="251"/>
      <c r="E613" s="251"/>
      <c r="F613" s="251"/>
      <c r="G613" s="252"/>
      <c r="H613" s="253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  <c r="AA613" s="251"/>
      <c r="AB613" s="251"/>
      <c r="AC613" s="251"/>
      <c r="AD613" s="251"/>
      <c r="AE613" s="251"/>
      <c r="AF613" s="251"/>
      <c r="AG613" s="251"/>
      <c r="AH613" s="251"/>
      <c r="AI613" s="251"/>
      <c r="AJ613" s="251"/>
      <c r="AK613" s="251"/>
      <c r="AL613" s="251"/>
      <c r="AM613" s="251"/>
      <c r="AN613" s="251"/>
      <c r="AO613" s="251"/>
    </row>
    <row r="614" spans="2:41" x14ac:dyDescent="0.25">
      <c r="B614" s="251"/>
      <c r="C614" s="251"/>
      <c r="D614" s="251"/>
      <c r="E614" s="251"/>
      <c r="F614" s="251"/>
      <c r="G614" s="252"/>
      <c r="H614" s="253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  <c r="AA614" s="251"/>
      <c r="AB614" s="251"/>
      <c r="AC614" s="251"/>
      <c r="AD614" s="251"/>
      <c r="AE614" s="251"/>
      <c r="AF614" s="251"/>
      <c r="AG614" s="251"/>
      <c r="AH614" s="251"/>
      <c r="AI614" s="251"/>
      <c r="AJ614" s="251"/>
      <c r="AK614" s="251"/>
      <c r="AL614" s="251"/>
      <c r="AM614" s="251"/>
      <c r="AN614" s="251"/>
      <c r="AO614" s="251"/>
    </row>
    <row r="615" spans="2:41" x14ac:dyDescent="0.25">
      <c r="B615" s="251"/>
      <c r="C615" s="251"/>
      <c r="D615" s="251"/>
      <c r="E615" s="251"/>
      <c r="F615" s="251"/>
      <c r="G615" s="252"/>
      <c r="H615" s="253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  <c r="AA615" s="251"/>
      <c r="AB615" s="251"/>
      <c r="AC615" s="251"/>
      <c r="AD615" s="251"/>
      <c r="AE615" s="251"/>
      <c r="AF615" s="251"/>
      <c r="AG615" s="251"/>
      <c r="AH615" s="251"/>
      <c r="AI615" s="251"/>
      <c r="AJ615" s="251"/>
      <c r="AK615" s="251"/>
      <c r="AL615" s="251"/>
      <c r="AM615" s="251"/>
      <c r="AN615" s="251"/>
      <c r="AO615" s="251"/>
    </row>
    <row r="616" spans="2:41" x14ac:dyDescent="0.25">
      <c r="B616" s="251"/>
      <c r="C616" s="251"/>
      <c r="D616" s="251"/>
      <c r="E616" s="251"/>
      <c r="F616" s="251"/>
      <c r="G616" s="252"/>
      <c r="H616" s="253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  <c r="AA616" s="251"/>
      <c r="AB616" s="251"/>
      <c r="AC616" s="251"/>
      <c r="AD616" s="251"/>
      <c r="AE616" s="251"/>
      <c r="AF616" s="251"/>
      <c r="AG616" s="251"/>
      <c r="AH616" s="251"/>
      <c r="AI616" s="251"/>
      <c r="AJ616" s="251"/>
      <c r="AK616" s="251"/>
      <c r="AL616" s="251"/>
      <c r="AM616" s="251"/>
      <c r="AN616" s="251"/>
      <c r="AO616" s="251"/>
    </row>
    <row r="617" spans="2:41" x14ac:dyDescent="0.25">
      <c r="B617" s="251"/>
      <c r="C617" s="251"/>
      <c r="D617" s="251"/>
      <c r="E617" s="251"/>
      <c r="F617" s="251"/>
      <c r="G617" s="252"/>
      <c r="H617" s="253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  <c r="AA617" s="251"/>
      <c r="AB617" s="251"/>
      <c r="AC617" s="251"/>
      <c r="AD617" s="251"/>
      <c r="AE617" s="251"/>
      <c r="AF617" s="251"/>
      <c r="AG617" s="251"/>
      <c r="AH617" s="251"/>
      <c r="AI617" s="251"/>
      <c r="AJ617" s="251"/>
      <c r="AK617" s="251"/>
      <c r="AL617" s="251"/>
      <c r="AM617" s="251"/>
      <c r="AN617" s="251"/>
      <c r="AO617" s="251"/>
    </row>
    <row r="618" spans="2:41" x14ac:dyDescent="0.25">
      <c r="B618" s="251"/>
      <c r="C618" s="251"/>
      <c r="D618" s="251"/>
      <c r="E618" s="251"/>
      <c r="F618" s="251"/>
      <c r="G618" s="252"/>
      <c r="H618" s="253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  <c r="AA618" s="251"/>
      <c r="AB618" s="251"/>
      <c r="AC618" s="251"/>
      <c r="AD618" s="251"/>
      <c r="AE618" s="251"/>
      <c r="AF618" s="251"/>
      <c r="AG618" s="251"/>
      <c r="AH618" s="251"/>
      <c r="AI618" s="251"/>
      <c r="AJ618" s="251"/>
      <c r="AK618" s="251"/>
      <c r="AL618" s="251"/>
      <c r="AM618" s="251"/>
      <c r="AN618" s="251"/>
      <c r="AO618" s="251"/>
    </row>
    <row r="619" spans="2:41" x14ac:dyDescent="0.25">
      <c r="B619" s="251"/>
      <c r="C619" s="251"/>
      <c r="D619" s="251"/>
      <c r="E619" s="251"/>
      <c r="F619" s="251"/>
      <c r="G619" s="252"/>
      <c r="H619" s="253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  <c r="AA619" s="251"/>
      <c r="AB619" s="251"/>
      <c r="AC619" s="251"/>
      <c r="AD619" s="251"/>
      <c r="AE619" s="251"/>
      <c r="AF619" s="251"/>
      <c r="AG619" s="251"/>
      <c r="AH619" s="251"/>
      <c r="AI619" s="251"/>
      <c r="AJ619" s="251"/>
      <c r="AK619" s="251"/>
      <c r="AL619" s="251"/>
      <c r="AM619" s="251"/>
      <c r="AN619" s="251"/>
      <c r="AO619" s="251"/>
    </row>
    <row r="620" spans="2:41" x14ac:dyDescent="0.25">
      <c r="B620" s="251"/>
      <c r="C620" s="251"/>
      <c r="D620" s="251"/>
      <c r="E620" s="251"/>
      <c r="F620" s="251"/>
      <c r="G620" s="252"/>
      <c r="H620" s="253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  <c r="AA620" s="251"/>
      <c r="AB620" s="251"/>
      <c r="AC620" s="251"/>
      <c r="AD620" s="251"/>
      <c r="AE620" s="251"/>
      <c r="AF620" s="251"/>
      <c r="AG620" s="251"/>
      <c r="AH620" s="251"/>
      <c r="AI620" s="251"/>
      <c r="AJ620" s="251"/>
      <c r="AK620" s="251"/>
      <c r="AL620" s="251"/>
      <c r="AM620" s="251"/>
      <c r="AN620" s="251"/>
      <c r="AO620" s="251"/>
    </row>
    <row r="621" spans="2:41" x14ac:dyDescent="0.25">
      <c r="B621" s="251"/>
      <c r="C621" s="251"/>
      <c r="D621" s="251"/>
      <c r="E621" s="251"/>
      <c r="F621" s="251"/>
      <c r="G621" s="252"/>
      <c r="H621" s="253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  <c r="AA621" s="251"/>
      <c r="AB621" s="251"/>
      <c r="AC621" s="251"/>
      <c r="AD621" s="251"/>
      <c r="AE621" s="251"/>
      <c r="AF621" s="251"/>
      <c r="AG621" s="251"/>
      <c r="AH621" s="251"/>
      <c r="AI621" s="251"/>
      <c r="AJ621" s="251"/>
      <c r="AK621" s="251"/>
      <c r="AL621" s="251"/>
      <c r="AM621" s="251"/>
      <c r="AN621" s="251"/>
      <c r="AO621" s="251"/>
    </row>
    <row r="622" spans="2:41" x14ac:dyDescent="0.25">
      <c r="B622" s="251"/>
      <c r="C622" s="251"/>
      <c r="D622" s="251"/>
      <c r="E622" s="251"/>
      <c r="F622" s="251"/>
      <c r="G622" s="252"/>
      <c r="H622" s="253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  <c r="AA622" s="251"/>
      <c r="AB622" s="251"/>
      <c r="AC622" s="251"/>
      <c r="AD622" s="251"/>
      <c r="AE622" s="251"/>
      <c r="AF622" s="251"/>
      <c r="AG622" s="251"/>
      <c r="AH622" s="251"/>
      <c r="AI622" s="251"/>
      <c r="AJ622" s="251"/>
      <c r="AK622" s="251"/>
      <c r="AL622" s="251"/>
      <c r="AM622" s="251"/>
      <c r="AN622" s="251"/>
      <c r="AO622" s="251"/>
    </row>
    <row r="623" spans="2:41" x14ac:dyDescent="0.25">
      <c r="B623" s="251"/>
      <c r="C623" s="251"/>
      <c r="D623" s="251"/>
      <c r="E623" s="251"/>
      <c r="F623" s="251"/>
      <c r="G623" s="252"/>
      <c r="H623" s="253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  <c r="AA623" s="251"/>
      <c r="AB623" s="251"/>
      <c r="AC623" s="251"/>
      <c r="AD623" s="251"/>
      <c r="AE623" s="251"/>
      <c r="AF623" s="251"/>
      <c r="AG623" s="251"/>
      <c r="AH623" s="251"/>
      <c r="AI623" s="251"/>
      <c r="AJ623" s="251"/>
      <c r="AK623" s="251"/>
      <c r="AL623" s="251"/>
      <c r="AM623" s="251"/>
      <c r="AN623" s="251"/>
      <c r="AO623" s="251"/>
    </row>
    <row r="624" spans="2:41" x14ac:dyDescent="0.25">
      <c r="B624" s="251"/>
      <c r="C624" s="251"/>
      <c r="D624" s="251"/>
      <c r="E624" s="251"/>
      <c r="F624" s="251"/>
      <c r="G624" s="252"/>
      <c r="H624" s="253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  <c r="AA624" s="251"/>
      <c r="AB624" s="251"/>
      <c r="AC624" s="251"/>
      <c r="AD624" s="251"/>
      <c r="AE624" s="251"/>
      <c r="AF624" s="251"/>
      <c r="AG624" s="251"/>
      <c r="AH624" s="251"/>
      <c r="AI624" s="251"/>
      <c r="AJ624" s="251"/>
      <c r="AK624" s="251"/>
      <c r="AL624" s="251"/>
      <c r="AM624" s="251"/>
      <c r="AN624" s="251"/>
      <c r="AO624" s="251"/>
    </row>
    <row r="625" spans="2:41" x14ac:dyDescent="0.25">
      <c r="B625" s="251"/>
      <c r="C625" s="251"/>
      <c r="D625" s="251"/>
      <c r="E625" s="251"/>
      <c r="F625" s="251"/>
      <c r="G625" s="252"/>
      <c r="H625" s="253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  <c r="AA625" s="251"/>
      <c r="AB625" s="251"/>
      <c r="AC625" s="251"/>
      <c r="AD625" s="251"/>
      <c r="AE625" s="251"/>
      <c r="AF625" s="251"/>
      <c r="AG625" s="251"/>
      <c r="AH625" s="251"/>
      <c r="AI625" s="251"/>
      <c r="AJ625" s="251"/>
      <c r="AK625" s="251"/>
      <c r="AL625" s="251"/>
      <c r="AM625" s="251"/>
      <c r="AN625" s="251"/>
      <c r="AO625" s="251"/>
    </row>
    <row r="626" spans="2:41" x14ac:dyDescent="0.25">
      <c r="B626" s="251"/>
      <c r="C626" s="251"/>
      <c r="D626" s="251"/>
      <c r="E626" s="251"/>
      <c r="F626" s="251"/>
      <c r="G626" s="252"/>
      <c r="H626" s="253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  <c r="AA626" s="251"/>
      <c r="AB626" s="251"/>
      <c r="AC626" s="251"/>
      <c r="AD626" s="251"/>
      <c r="AE626" s="251"/>
      <c r="AF626" s="251"/>
      <c r="AG626" s="251"/>
      <c r="AH626" s="251"/>
      <c r="AI626" s="251"/>
      <c r="AJ626" s="251"/>
      <c r="AK626" s="251"/>
      <c r="AL626" s="251"/>
      <c r="AM626" s="251"/>
      <c r="AN626" s="251"/>
      <c r="AO626" s="251"/>
    </row>
    <row r="627" spans="2:41" x14ac:dyDescent="0.25">
      <c r="B627" s="251"/>
      <c r="C627" s="251"/>
      <c r="D627" s="251"/>
      <c r="E627" s="251"/>
      <c r="F627" s="251"/>
      <c r="G627" s="252"/>
      <c r="H627" s="253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  <c r="AA627" s="251"/>
      <c r="AB627" s="251"/>
      <c r="AC627" s="251"/>
      <c r="AD627" s="251"/>
      <c r="AE627" s="251"/>
      <c r="AF627" s="251"/>
      <c r="AG627" s="251"/>
      <c r="AH627" s="251"/>
      <c r="AI627" s="251"/>
      <c r="AJ627" s="251"/>
      <c r="AK627" s="251"/>
      <c r="AL627" s="251"/>
      <c r="AM627" s="251"/>
      <c r="AN627" s="251"/>
      <c r="AO627" s="251"/>
    </row>
    <row r="628" spans="2:41" x14ac:dyDescent="0.25">
      <c r="B628" s="251"/>
      <c r="C628" s="251"/>
      <c r="D628" s="251"/>
      <c r="E628" s="251"/>
      <c r="F628" s="251"/>
      <c r="G628" s="252"/>
      <c r="H628" s="253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  <c r="AA628" s="251"/>
      <c r="AB628" s="251"/>
      <c r="AC628" s="251"/>
      <c r="AD628" s="251"/>
      <c r="AE628" s="251"/>
      <c r="AF628" s="251"/>
      <c r="AG628" s="251"/>
      <c r="AH628" s="251"/>
      <c r="AI628" s="251"/>
      <c r="AJ628" s="251"/>
      <c r="AK628" s="251"/>
      <c r="AL628" s="251"/>
      <c r="AM628" s="251"/>
      <c r="AN628" s="251"/>
      <c r="AO628" s="251"/>
    </row>
    <row r="629" spans="2:41" x14ac:dyDescent="0.25">
      <c r="B629" s="251"/>
      <c r="C629" s="251"/>
      <c r="D629" s="251"/>
      <c r="E629" s="251"/>
      <c r="F629" s="251"/>
      <c r="G629" s="252"/>
      <c r="H629" s="253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  <c r="AA629" s="251"/>
      <c r="AB629" s="251"/>
      <c r="AC629" s="251"/>
      <c r="AD629" s="251"/>
      <c r="AE629" s="251"/>
      <c r="AF629" s="251"/>
      <c r="AG629" s="251"/>
      <c r="AH629" s="251"/>
      <c r="AI629" s="251"/>
      <c r="AJ629" s="251"/>
      <c r="AK629" s="251"/>
      <c r="AL629" s="251"/>
      <c r="AM629" s="251"/>
      <c r="AN629" s="251"/>
      <c r="AO629" s="251"/>
    </row>
    <row r="630" spans="2:41" x14ac:dyDescent="0.25">
      <c r="B630" s="251"/>
      <c r="C630" s="251"/>
      <c r="D630" s="251"/>
      <c r="E630" s="251"/>
      <c r="F630" s="251"/>
      <c r="G630" s="252"/>
      <c r="H630" s="253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  <c r="AA630" s="251"/>
      <c r="AB630" s="251"/>
      <c r="AC630" s="251"/>
      <c r="AD630" s="251"/>
      <c r="AE630" s="251"/>
      <c r="AF630" s="251"/>
      <c r="AG630" s="251"/>
      <c r="AH630" s="251"/>
      <c r="AI630" s="251"/>
      <c r="AJ630" s="251"/>
      <c r="AK630" s="251"/>
      <c r="AL630" s="251"/>
      <c r="AM630" s="251"/>
      <c r="AN630" s="251"/>
      <c r="AO630" s="251"/>
    </row>
    <row r="631" spans="2:41" x14ac:dyDescent="0.25">
      <c r="B631" s="251"/>
      <c r="C631" s="251"/>
      <c r="D631" s="251"/>
      <c r="E631" s="251"/>
      <c r="F631" s="251"/>
      <c r="G631" s="252"/>
      <c r="H631" s="253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  <c r="AA631" s="251"/>
      <c r="AB631" s="251"/>
      <c r="AC631" s="251"/>
      <c r="AD631" s="251"/>
      <c r="AE631" s="251"/>
      <c r="AF631" s="251"/>
      <c r="AG631" s="251"/>
      <c r="AH631" s="251"/>
      <c r="AI631" s="251"/>
      <c r="AJ631" s="251"/>
      <c r="AK631" s="251"/>
      <c r="AL631" s="251"/>
      <c r="AM631" s="251"/>
      <c r="AN631" s="251"/>
      <c r="AO631" s="251"/>
    </row>
    <row r="632" spans="2:41" x14ac:dyDescent="0.25">
      <c r="B632" s="251"/>
      <c r="C632" s="251"/>
      <c r="D632" s="251"/>
      <c r="E632" s="251"/>
      <c r="F632" s="251"/>
      <c r="G632" s="252"/>
      <c r="H632" s="253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  <c r="AA632" s="251"/>
      <c r="AB632" s="251"/>
      <c r="AC632" s="251"/>
      <c r="AD632" s="251"/>
      <c r="AE632" s="251"/>
      <c r="AF632" s="251"/>
      <c r="AG632" s="251"/>
      <c r="AH632" s="251"/>
      <c r="AI632" s="251"/>
      <c r="AJ632" s="251"/>
      <c r="AK632" s="251"/>
      <c r="AL632" s="251"/>
      <c r="AM632" s="251"/>
      <c r="AN632" s="251"/>
      <c r="AO632" s="251"/>
    </row>
    <row r="633" spans="2:41" x14ac:dyDescent="0.25">
      <c r="B633" s="251"/>
      <c r="C633" s="251"/>
      <c r="D633" s="251"/>
      <c r="E633" s="251"/>
      <c r="F633" s="251"/>
      <c r="G633" s="252"/>
      <c r="H633" s="253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  <c r="AA633" s="251"/>
      <c r="AB633" s="251"/>
      <c r="AC633" s="251"/>
      <c r="AD633" s="251"/>
      <c r="AE633" s="251"/>
      <c r="AF633" s="251"/>
      <c r="AG633" s="251"/>
      <c r="AH633" s="251"/>
      <c r="AI633" s="251"/>
      <c r="AJ633" s="251"/>
      <c r="AK633" s="251"/>
      <c r="AL633" s="251"/>
      <c r="AM633" s="251"/>
      <c r="AN633" s="251"/>
      <c r="AO633" s="251"/>
    </row>
    <row r="634" spans="2:41" x14ac:dyDescent="0.25">
      <c r="B634" s="251"/>
      <c r="C634" s="251"/>
      <c r="D634" s="251"/>
      <c r="E634" s="251"/>
      <c r="F634" s="251"/>
      <c r="G634" s="252"/>
      <c r="H634" s="253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  <c r="AA634" s="251"/>
      <c r="AB634" s="251"/>
      <c r="AC634" s="251"/>
      <c r="AD634" s="251"/>
      <c r="AE634" s="251"/>
      <c r="AF634" s="251"/>
      <c r="AG634" s="251"/>
      <c r="AH634" s="251"/>
      <c r="AI634" s="251"/>
      <c r="AJ634" s="251"/>
      <c r="AK634" s="251"/>
      <c r="AL634" s="251"/>
      <c r="AM634" s="251"/>
      <c r="AN634" s="251"/>
      <c r="AO634" s="251"/>
    </row>
    <row r="635" spans="2:41" x14ac:dyDescent="0.25">
      <c r="B635" s="251"/>
      <c r="C635" s="251"/>
      <c r="D635" s="251"/>
      <c r="E635" s="251"/>
      <c r="F635" s="251"/>
      <c r="G635" s="252"/>
      <c r="H635" s="253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  <c r="AA635" s="251"/>
      <c r="AB635" s="251"/>
      <c r="AC635" s="251"/>
      <c r="AD635" s="251"/>
      <c r="AE635" s="251"/>
      <c r="AF635" s="251"/>
      <c r="AG635" s="251"/>
      <c r="AH635" s="251"/>
      <c r="AI635" s="251"/>
      <c r="AJ635" s="251"/>
      <c r="AK635" s="251"/>
      <c r="AL635" s="251"/>
      <c r="AM635" s="251"/>
      <c r="AN635" s="251"/>
      <c r="AO635" s="251"/>
    </row>
    <row r="636" spans="2:41" x14ac:dyDescent="0.25">
      <c r="B636" s="251"/>
      <c r="C636" s="251"/>
      <c r="D636" s="251"/>
      <c r="E636" s="251"/>
      <c r="F636" s="251"/>
      <c r="G636" s="252"/>
      <c r="H636" s="253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  <c r="AA636" s="251"/>
      <c r="AB636" s="251"/>
      <c r="AC636" s="251"/>
      <c r="AD636" s="251"/>
      <c r="AE636" s="251"/>
      <c r="AF636" s="251"/>
      <c r="AG636" s="251"/>
      <c r="AH636" s="251"/>
      <c r="AI636" s="251"/>
      <c r="AJ636" s="251"/>
      <c r="AK636" s="251"/>
      <c r="AL636" s="251"/>
      <c r="AM636" s="251"/>
      <c r="AN636" s="251"/>
      <c r="AO636" s="251"/>
    </row>
    <row r="637" spans="2:41" x14ac:dyDescent="0.25">
      <c r="B637" s="251"/>
      <c r="C637" s="251"/>
      <c r="D637" s="251"/>
      <c r="E637" s="251"/>
      <c r="F637" s="251"/>
      <c r="G637" s="252"/>
      <c r="H637" s="253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  <c r="AA637" s="251"/>
      <c r="AB637" s="251"/>
      <c r="AC637" s="251"/>
      <c r="AD637" s="251"/>
      <c r="AE637" s="251"/>
      <c r="AF637" s="251"/>
      <c r="AG637" s="251"/>
      <c r="AH637" s="251"/>
      <c r="AI637" s="251"/>
      <c r="AJ637" s="251"/>
      <c r="AK637" s="251"/>
      <c r="AL637" s="251"/>
      <c r="AM637" s="251"/>
      <c r="AN637" s="251"/>
      <c r="AO637" s="251"/>
    </row>
    <row r="638" spans="2:41" x14ac:dyDescent="0.25">
      <c r="B638" s="251"/>
      <c r="C638" s="251"/>
      <c r="D638" s="251"/>
      <c r="E638" s="251"/>
      <c r="F638" s="251"/>
      <c r="G638" s="252"/>
      <c r="H638" s="253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  <c r="AA638" s="251"/>
      <c r="AB638" s="251"/>
      <c r="AC638" s="251"/>
      <c r="AD638" s="251"/>
      <c r="AE638" s="251"/>
      <c r="AF638" s="251"/>
      <c r="AG638" s="251"/>
      <c r="AH638" s="251"/>
      <c r="AI638" s="251"/>
      <c r="AJ638" s="251"/>
      <c r="AK638" s="251"/>
      <c r="AL638" s="251"/>
      <c r="AM638" s="251"/>
      <c r="AN638" s="251"/>
      <c r="AO638" s="251"/>
    </row>
    <row r="639" spans="2:41" x14ac:dyDescent="0.25">
      <c r="B639" s="251"/>
      <c r="C639" s="251"/>
      <c r="D639" s="251"/>
      <c r="E639" s="251"/>
      <c r="F639" s="251"/>
      <c r="G639" s="252"/>
      <c r="H639" s="253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  <c r="AA639" s="251"/>
      <c r="AB639" s="251"/>
      <c r="AC639" s="251"/>
      <c r="AD639" s="251"/>
      <c r="AE639" s="251"/>
      <c r="AF639" s="251"/>
      <c r="AG639" s="251"/>
      <c r="AH639" s="251"/>
      <c r="AI639" s="251"/>
      <c r="AJ639" s="251"/>
      <c r="AK639" s="251"/>
      <c r="AL639" s="251"/>
      <c r="AM639" s="251"/>
      <c r="AN639" s="251"/>
      <c r="AO639" s="251"/>
    </row>
    <row r="640" spans="2:41" x14ac:dyDescent="0.25">
      <c r="B640" s="251"/>
      <c r="C640" s="251"/>
      <c r="D640" s="251"/>
      <c r="E640" s="251"/>
      <c r="F640" s="251"/>
      <c r="G640" s="252"/>
      <c r="H640" s="253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  <c r="AA640" s="251"/>
      <c r="AB640" s="251"/>
      <c r="AC640" s="251"/>
      <c r="AD640" s="251"/>
      <c r="AE640" s="251"/>
      <c r="AF640" s="251"/>
      <c r="AG640" s="251"/>
      <c r="AH640" s="251"/>
      <c r="AI640" s="251"/>
      <c r="AJ640" s="251"/>
      <c r="AK640" s="251"/>
      <c r="AL640" s="251"/>
      <c r="AM640" s="251"/>
      <c r="AN640" s="251"/>
      <c r="AO640" s="251"/>
    </row>
    <row r="641" spans="2:41" x14ac:dyDescent="0.25">
      <c r="B641" s="251"/>
      <c r="C641" s="251"/>
      <c r="D641" s="251"/>
      <c r="E641" s="251"/>
      <c r="F641" s="251"/>
      <c r="G641" s="252"/>
      <c r="H641" s="253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  <c r="AA641" s="251"/>
      <c r="AB641" s="251"/>
      <c r="AC641" s="251"/>
      <c r="AD641" s="251"/>
      <c r="AE641" s="251"/>
      <c r="AF641" s="251"/>
      <c r="AG641" s="251"/>
      <c r="AH641" s="251"/>
      <c r="AI641" s="251"/>
      <c r="AJ641" s="251"/>
      <c r="AK641" s="251"/>
      <c r="AL641" s="251"/>
      <c r="AM641" s="251"/>
      <c r="AN641" s="251"/>
      <c r="AO641" s="251"/>
    </row>
    <row r="642" spans="2:41" x14ac:dyDescent="0.25">
      <c r="B642" s="251"/>
      <c r="C642" s="251"/>
      <c r="D642" s="251"/>
      <c r="E642" s="251"/>
      <c r="F642" s="251"/>
      <c r="G642" s="252"/>
      <c r="H642" s="253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  <c r="AA642" s="251"/>
      <c r="AB642" s="251"/>
      <c r="AC642" s="251"/>
      <c r="AD642" s="251"/>
      <c r="AE642" s="251"/>
      <c r="AF642" s="251"/>
      <c r="AG642" s="251"/>
      <c r="AH642" s="251"/>
      <c r="AI642" s="251"/>
      <c r="AJ642" s="251"/>
      <c r="AK642" s="251"/>
      <c r="AL642" s="251"/>
      <c r="AM642" s="251"/>
      <c r="AN642" s="251"/>
      <c r="AO642" s="251"/>
    </row>
    <row r="643" spans="2:41" x14ac:dyDescent="0.25">
      <c r="B643" s="251"/>
      <c r="C643" s="251"/>
      <c r="D643" s="251"/>
      <c r="E643" s="251"/>
      <c r="F643" s="251"/>
      <c r="G643" s="252"/>
      <c r="H643" s="253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  <c r="AA643" s="251"/>
      <c r="AB643" s="251"/>
      <c r="AC643" s="251"/>
      <c r="AD643" s="251"/>
      <c r="AE643" s="251"/>
      <c r="AF643" s="251"/>
      <c r="AG643" s="251"/>
      <c r="AH643" s="251"/>
      <c r="AI643" s="251"/>
      <c r="AJ643" s="251"/>
      <c r="AK643" s="251"/>
      <c r="AL643" s="251"/>
      <c r="AM643" s="251"/>
      <c r="AN643" s="251"/>
      <c r="AO643" s="251"/>
    </row>
    <row r="644" spans="2:41" x14ac:dyDescent="0.25">
      <c r="B644" s="251"/>
      <c r="C644" s="251"/>
      <c r="D644" s="251"/>
      <c r="E644" s="251"/>
      <c r="F644" s="251"/>
      <c r="G644" s="252"/>
      <c r="H644" s="253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  <c r="AA644" s="251"/>
      <c r="AB644" s="251"/>
      <c r="AC644" s="251"/>
      <c r="AD644" s="251"/>
      <c r="AE644" s="251"/>
      <c r="AF644" s="251"/>
      <c r="AG644" s="251"/>
      <c r="AH644" s="251"/>
      <c r="AI644" s="251"/>
      <c r="AJ644" s="251"/>
      <c r="AK644" s="251"/>
      <c r="AL644" s="251"/>
      <c r="AM644" s="251"/>
      <c r="AN644" s="251"/>
      <c r="AO644" s="251"/>
    </row>
    <row r="645" spans="2:41" x14ac:dyDescent="0.25">
      <c r="B645" s="251"/>
      <c r="C645" s="251"/>
      <c r="D645" s="251"/>
      <c r="E645" s="251"/>
      <c r="F645" s="251"/>
      <c r="G645" s="252"/>
      <c r="H645" s="253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  <c r="AA645" s="251"/>
      <c r="AB645" s="251"/>
      <c r="AC645" s="251"/>
      <c r="AD645" s="251"/>
      <c r="AE645" s="251"/>
      <c r="AF645" s="251"/>
      <c r="AG645" s="251"/>
      <c r="AH645" s="251"/>
      <c r="AI645" s="251"/>
      <c r="AJ645" s="251"/>
      <c r="AK645" s="251"/>
      <c r="AL645" s="251"/>
      <c r="AM645" s="251"/>
      <c r="AN645" s="251"/>
      <c r="AO645" s="251"/>
    </row>
    <row r="646" spans="2:41" x14ac:dyDescent="0.25">
      <c r="B646" s="251"/>
      <c r="C646" s="251"/>
      <c r="D646" s="251"/>
      <c r="E646" s="251"/>
      <c r="F646" s="251"/>
      <c r="G646" s="252"/>
      <c r="H646" s="253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  <c r="AA646" s="251"/>
      <c r="AB646" s="251"/>
      <c r="AC646" s="251"/>
      <c r="AD646" s="251"/>
      <c r="AE646" s="251"/>
      <c r="AF646" s="251"/>
      <c r="AG646" s="251"/>
      <c r="AH646" s="251"/>
      <c r="AI646" s="251"/>
      <c r="AJ646" s="251"/>
      <c r="AK646" s="251"/>
      <c r="AL646" s="251"/>
      <c r="AM646" s="251"/>
      <c r="AN646" s="251"/>
      <c r="AO646" s="251"/>
    </row>
    <row r="647" spans="2:41" x14ac:dyDescent="0.25">
      <c r="B647" s="251"/>
      <c r="C647" s="251"/>
      <c r="D647" s="251"/>
      <c r="E647" s="251"/>
      <c r="F647" s="251"/>
      <c r="G647" s="252"/>
      <c r="H647" s="253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  <c r="AA647" s="251"/>
      <c r="AB647" s="251"/>
      <c r="AC647" s="251"/>
      <c r="AD647" s="251"/>
      <c r="AE647" s="251"/>
      <c r="AF647" s="251"/>
      <c r="AG647" s="251"/>
      <c r="AH647" s="251"/>
      <c r="AI647" s="251"/>
      <c r="AJ647" s="251"/>
      <c r="AK647" s="251"/>
      <c r="AL647" s="251"/>
      <c r="AM647" s="251"/>
      <c r="AN647" s="251"/>
      <c r="AO647" s="251"/>
    </row>
    <row r="648" spans="2:41" x14ac:dyDescent="0.25">
      <c r="B648" s="251"/>
      <c r="C648" s="251"/>
      <c r="D648" s="251"/>
      <c r="E648" s="251"/>
      <c r="F648" s="251"/>
      <c r="G648" s="252"/>
      <c r="H648" s="253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  <c r="AA648" s="251"/>
      <c r="AB648" s="251"/>
      <c r="AC648" s="251"/>
      <c r="AD648" s="251"/>
      <c r="AE648" s="251"/>
      <c r="AF648" s="251"/>
      <c r="AG648" s="251"/>
      <c r="AH648" s="251"/>
      <c r="AI648" s="251"/>
      <c r="AJ648" s="251"/>
      <c r="AK648" s="251"/>
      <c r="AL648" s="251"/>
      <c r="AM648" s="251"/>
      <c r="AN648" s="251"/>
      <c r="AO648" s="251"/>
    </row>
    <row r="649" spans="2:41" x14ac:dyDescent="0.25">
      <c r="B649" s="251"/>
      <c r="C649" s="251"/>
      <c r="D649" s="251"/>
      <c r="E649" s="251"/>
      <c r="F649" s="251"/>
      <c r="G649" s="252"/>
      <c r="H649" s="253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  <c r="AA649" s="251"/>
      <c r="AB649" s="251"/>
      <c r="AC649" s="251"/>
      <c r="AD649" s="251"/>
      <c r="AE649" s="251"/>
      <c r="AF649" s="251"/>
      <c r="AG649" s="251"/>
      <c r="AH649" s="251"/>
      <c r="AI649" s="251"/>
      <c r="AJ649" s="251"/>
      <c r="AK649" s="251"/>
      <c r="AL649" s="251"/>
      <c r="AM649" s="251"/>
      <c r="AN649" s="251"/>
      <c r="AO649" s="251"/>
    </row>
    <row r="650" spans="2:41" x14ac:dyDescent="0.25">
      <c r="B650" s="251"/>
      <c r="C650" s="251"/>
      <c r="D650" s="251"/>
      <c r="E650" s="251"/>
      <c r="F650" s="251"/>
      <c r="G650" s="252"/>
      <c r="H650" s="253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  <c r="AA650" s="251"/>
      <c r="AB650" s="251"/>
      <c r="AC650" s="251"/>
      <c r="AD650" s="251"/>
      <c r="AE650" s="251"/>
      <c r="AF650" s="251"/>
      <c r="AG650" s="251"/>
      <c r="AH650" s="251"/>
      <c r="AI650" s="251"/>
      <c r="AJ650" s="251"/>
      <c r="AK650" s="251"/>
      <c r="AL650" s="251"/>
      <c r="AM650" s="251"/>
      <c r="AN650" s="251"/>
      <c r="AO650" s="251"/>
    </row>
    <row r="651" spans="2:41" x14ac:dyDescent="0.25">
      <c r="B651" s="251"/>
      <c r="C651" s="251"/>
      <c r="D651" s="251"/>
      <c r="E651" s="251"/>
      <c r="F651" s="251"/>
      <c r="G651" s="252"/>
      <c r="H651" s="253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  <c r="AA651" s="251"/>
      <c r="AB651" s="251"/>
      <c r="AC651" s="251"/>
      <c r="AD651" s="251"/>
      <c r="AE651" s="251"/>
      <c r="AF651" s="251"/>
      <c r="AG651" s="251"/>
      <c r="AH651" s="251"/>
      <c r="AI651" s="251"/>
      <c r="AJ651" s="251"/>
      <c r="AK651" s="251"/>
      <c r="AL651" s="251"/>
      <c r="AM651" s="251"/>
      <c r="AN651" s="251"/>
      <c r="AO651" s="251"/>
    </row>
    <row r="652" spans="2:41" x14ac:dyDescent="0.25">
      <c r="B652" s="251"/>
      <c r="C652" s="251"/>
      <c r="D652" s="251"/>
      <c r="E652" s="251"/>
      <c r="F652" s="251"/>
      <c r="G652" s="252"/>
      <c r="H652" s="253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  <c r="AA652" s="251"/>
      <c r="AB652" s="251"/>
      <c r="AC652" s="251"/>
      <c r="AD652" s="251"/>
      <c r="AE652" s="251"/>
      <c r="AF652" s="251"/>
      <c r="AG652" s="251"/>
      <c r="AH652" s="251"/>
      <c r="AI652" s="251"/>
      <c r="AJ652" s="251"/>
      <c r="AK652" s="251"/>
      <c r="AL652" s="251"/>
      <c r="AM652" s="251"/>
      <c r="AN652" s="251"/>
      <c r="AO652" s="251"/>
    </row>
    <row r="653" spans="2:41" x14ac:dyDescent="0.25">
      <c r="B653" s="251"/>
      <c r="C653" s="251"/>
      <c r="D653" s="251"/>
      <c r="E653" s="251"/>
      <c r="F653" s="251"/>
      <c r="G653" s="252"/>
      <c r="H653" s="253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  <c r="AA653" s="251"/>
      <c r="AB653" s="251"/>
      <c r="AC653" s="251"/>
      <c r="AD653" s="251"/>
      <c r="AE653" s="251"/>
      <c r="AF653" s="251"/>
      <c r="AG653" s="251"/>
      <c r="AH653" s="251"/>
      <c r="AI653" s="251"/>
      <c r="AJ653" s="251"/>
      <c r="AK653" s="251"/>
      <c r="AL653" s="251"/>
      <c r="AM653" s="251"/>
      <c r="AN653" s="251"/>
      <c r="AO653" s="251"/>
    </row>
    <row r="654" spans="2:41" x14ac:dyDescent="0.25">
      <c r="B654" s="251"/>
      <c r="C654" s="251"/>
      <c r="D654" s="251"/>
      <c r="E654" s="251"/>
      <c r="F654" s="251"/>
      <c r="G654" s="252"/>
      <c r="H654" s="253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  <c r="AA654" s="251"/>
      <c r="AB654" s="251"/>
      <c r="AC654" s="251"/>
      <c r="AD654" s="251"/>
      <c r="AE654" s="251"/>
      <c r="AF654" s="251"/>
      <c r="AG654" s="251"/>
      <c r="AH654" s="251"/>
      <c r="AI654" s="251"/>
      <c r="AJ654" s="251"/>
      <c r="AK654" s="251"/>
      <c r="AL654" s="251"/>
      <c r="AM654" s="251"/>
      <c r="AN654" s="251"/>
      <c r="AO654" s="251"/>
    </row>
    <row r="655" spans="2:41" x14ac:dyDescent="0.25">
      <c r="B655" s="251"/>
      <c r="C655" s="251"/>
      <c r="D655" s="251"/>
      <c r="E655" s="251"/>
      <c r="F655" s="251"/>
      <c r="G655" s="252"/>
      <c r="H655" s="253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  <c r="AA655" s="251"/>
      <c r="AB655" s="251"/>
      <c r="AC655" s="251"/>
      <c r="AD655" s="251"/>
      <c r="AE655" s="251"/>
      <c r="AF655" s="251"/>
      <c r="AG655" s="251"/>
      <c r="AH655" s="251"/>
      <c r="AI655" s="251"/>
      <c r="AJ655" s="251"/>
      <c r="AK655" s="251"/>
      <c r="AL655" s="251"/>
      <c r="AM655" s="251"/>
      <c r="AN655" s="251"/>
      <c r="AO655" s="251"/>
    </row>
    <row r="656" spans="2:41" x14ac:dyDescent="0.25">
      <c r="B656" s="251"/>
      <c r="C656" s="251"/>
      <c r="D656" s="251"/>
      <c r="E656" s="251"/>
      <c r="F656" s="251"/>
      <c r="G656" s="252"/>
      <c r="H656" s="253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  <c r="AA656" s="251"/>
      <c r="AB656" s="251"/>
      <c r="AC656" s="251"/>
      <c r="AD656" s="251"/>
      <c r="AE656" s="251"/>
      <c r="AF656" s="251"/>
      <c r="AG656" s="251"/>
      <c r="AH656" s="251"/>
      <c r="AI656" s="251"/>
      <c r="AJ656" s="251"/>
      <c r="AK656" s="251"/>
      <c r="AL656" s="251"/>
      <c r="AM656" s="251"/>
      <c r="AN656" s="251"/>
      <c r="AO656" s="251"/>
    </row>
    <row r="657" spans="2:41" x14ac:dyDescent="0.25">
      <c r="B657" s="251"/>
      <c r="C657" s="251"/>
      <c r="D657" s="251"/>
      <c r="E657" s="251"/>
      <c r="F657" s="251"/>
      <c r="G657" s="252"/>
      <c r="H657" s="253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  <c r="AA657" s="251"/>
      <c r="AB657" s="251"/>
      <c r="AC657" s="251"/>
      <c r="AD657" s="251"/>
      <c r="AE657" s="251"/>
      <c r="AF657" s="251"/>
      <c r="AG657" s="251"/>
      <c r="AH657" s="251"/>
      <c r="AI657" s="251"/>
      <c r="AJ657" s="251"/>
      <c r="AK657" s="251"/>
      <c r="AL657" s="251"/>
      <c r="AM657" s="251"/>
      <c r="AN657" s="251"/>
      <c r="AO657" s="251"/>
    </row>
    <row r="658" spans="2:41" x14ac:dyDescent="0.25">
      <c r="B658" s="251"/>
      <c r="C658" s="251"/>
      <c r="D658" s="251"/>
      <c r="E658" s="251"/>
      <c r="F658" s="251"/>
      <c r="G658" s="252"/>
      <c r="H658" s="253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  <c r="AA658" s="251"/>
      <c r="AB658" s="251"/>
      <c r="AC658" s="251"/>
      <c r="AD658" s="251"/>
      <c r="AE658" s="251"/>
      <c r="AF658" s="251"/>
      <c r="AG658" s="251"/>
      <c r="AH658" s="251"/>
      <c r="AI658" s="251"/>
      <c r="AJ658" s="251"/>
      <c r="AK658" s="251"/>
      <c r="AL658" s="251"/>
      <c r="AM658" s="251"/>
      <c r="AN658" s="251"/>
      <c r="AO658" s="251"/>
    </row>
    <row r="659" spans="2:41" x14ac:dyDescent="0.25">
      <c r="B659" s="251"/>
      <c r="C659" s="251"/>
      <c r="D659" s="251"/>
      <c r="E659" s="251"/>
      <c r="F659" s="251"/>
      <c r="G659" s="252"/>
      <c r="H659" s="253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  <c r="AA659" s="251"/>
      <c r="AB659" s="251"/>
      <c r="AC659" s="251"/>
      <c r="AD659" s="251"/>
      <c r="AE659" s="251"/>
      <c r="AF659" s="251"/>
      <c r="AG659" s="251"/>
      <c r="AH659" s="251"/>
      <c r="AI659" s="251"/>
      <c r="AJ659" s="251"/>
      <c r="AK659" s="251"/>
      <c r="AL659" s="251"/>
      <c r="AM659" s="251"/>
      <c r="AN659" s="251"/>
      <c r="AO659" s="251"/>
    </row>
    <row r="660" spans="2:41" x14ac:dyDescent="0.25">
      <c r="B660" s="251"/>
      <c r="C660" s="251"/>
      <c r="D660" s="251"/>
      <c r="E660" s="251"/>
      <c r="F660" s="251"/>
      <c r="G660" s="252"/>
      <c r="H660" s="253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  <c r="AA660" s="251"/>
      <c r="AB660" s="251"/>
      <c r="AC660" s="251"/>
      <c r="AD660" s="251"/>
      <c r="AE660" s="251"/>
      <c r="AF660" s="251"/>
      <c r="AG660" s="251"/>
      <c r="AH660" s="251"/>
      <c r="AI660" s="251"/>
      <c r="AJ660" s="251"/>
      <c r="AK660" s="251"/>
      <c r="AL660" s="251"/>
      <c r="AM660" s="251"/>
      <c r="AN660" s="251"/>
      <c r="AO660" s="251"/>
    </row>
    <row r="661" spans="2:41" x14ac:dyDescent="0.25">
      <c r="B661" s="251"/>
      <c r="C661" s="251"/>
      <c r="D661" s="251"/>
      <c r="E661" s="251"/>
      <c r="F661" s="251"/>
      <c r="G661" s="252"/>
      <c r="H661" s="253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  <c r="AA661" s="251"/>
      <c r="AB661" s="251"/>
      <c r="AC661" s="251"/>
      <c r="AD661" s="251"/>
      <c r="AE661" s="251"/>
      <c r="AF661" s="251"/>
      <c r="AG661" s="251"/>
      <c r="AH661" s="251"/>
      <c r="AI661" s="251"/>
      <c r="AJ661" s="251"/>
      <c r="AK661" s="251"/>
      <c r="AL661" s="251"/>
      <c r="AM661" s="251"/>
      <c r="AN661" s="251"/>
      <c r="AO661" s="251"/>
    </row>
    <row r="662" spans="2:41" x14ac:dyDescent="0.25">
      <c r="B662" s="251"/>
      <c r="C662" s="251"/>
      <c r="D662" s="251"/>
      <c r="E662" s="251"/>
      <c r="F662" s="251"/>
      <c r="G662" s="252"/>
      <c r="H662" s="253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  <c r="AA662" s="251"/>
      <c r="AB662" s="251"/>
      <c r="AC662" s="251"/>
      <c r="AD662" s="251"/>
      <c r="AE662" s="251"/>
      <c r="AF662" s="251"/>
      <c r="AG662" s="251"/>
      <c r="AH662" s="251"/>
      <c r="AI662" s="251"/>
      <c r="AJ662" s="251"/>
      <c r="AK662" s="251"/>
      <c r="AL662" s="251"/>
      <c r="AM662" s="251"/>
      <c r="AN662" s="251"/>
      <c r="AO662" s="251"/>
    </row>
    <row r="663" spans="2:41" x14ac:dyDescent="0.25">
      <c r="B663" s="251"/>
      <c r="C663" s="251"/>
      <c r="D663" s="251"/>
      <c r="E663" s="251"/>
      <c r="F663" s="251"/>
      <c r="G663" s="252"/>
      <c r="H663" s="253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  <c r="AA663" s="251"/>
      <c r="AB663" s="251"/>
      <c r="AC663" s="251"/>
      <c r="AD663" s="251"/>
      <c r="AE663" s="251"/>
      <c r="AF663" s="251"/>
      <c r="AG663" s="251"/>
      <c r="AH663" s="251"/>
      <c r="AI663" s="251"/>
      <c r="AJ663" s="251"/>
      <c r="AK663" s="251"/>
      <c r="AL663" s="251"/>
      <c r="AM663" s="251"/>
      <c r="AN663" s="251"/>
      <c r="AO663" s="251"/>
    </row>
    <row r="664" spans="2:41" x14ac:dyDescent="0.25">
      <c r="B664" s="251"/>
      <c r="C664" s="251"/>
      <c r="D664" s="251"/>
      <c r="E664" s="251"/>
      <c r="F664" s="251"/>
      <c r="G664" s="252"/>
      <c r="H664" s="253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  <c r="AA664" s="251"/>
      <c r="AB664" s="251"/>
      <c r="AC664" s="251"/>
      <c r="AD664" s="251"/>
      <c r="AE664" s="251"/>
      <c r="AF664" s="251"/>
      <c r="AG664" s="251"/>
      <c r="AH664" s="251"/>
      <c r="AI664" s="251"/>
      <c r="AJ664" s="251"/>
      <c r="AK664" s="251"/>
      <c r="AL664" s="251"/>
      <c r="AM664" s="251"/>
      <c r="AN664" s="251"/>
      <c r="AO664" s="251"/>
    </row>
    <row r="665" spans="2:41" x14ac:dyDescent="0.25">
      <c r="B665" s="251"/>
      <c r="C665" s="251"/>
      <c r="D665" s="251"/>
      <c r="E665" s="251"/>
      <c r="F665" s="251"/>
      <c r="G665" s="252"/>
      <c r="H665" s="253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  <c r="AA665" s="251"/>
      <c r="AB665" s="251"/>
      <c r="AC665" s="251"/>
      <c r="AD665" s="251"/>
      <c r="AE665" s="251"/>
      <c r="AF665" s="251"/>
      <c r="AG665" s="251"/>
      <c r="AH665" s="251"/>
      <c r="AI665" s="251"/>
      <c r="AJ665" s="251"/>
      <c r="AK665" s="251"/>
      <c r="AL665" s="251"/>
      <c r="AM665" s="251"/>
      <c r="AN665" s="251"/>
      <c r="AO665" s="251"/>
    </row>
    <row r="666" spans="2:41" x14ac:dyDescent="0.25">
      <c r="B666" s="251"/>
      <c r="C666" s="251"/>
      <c r="D666" s="251"/>
      <c r="E666" s="251"/>
      <c r="F666" s="251"/>
      <c r="G666" s="252"/>
      <c r="H666" s="253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  <c r="AA666" s="251"/>
      <c r="AB666" s="251"/>
      <c r="AC666" s="251"/>
      <c r="AD666" s="251"/>
      <c r="AE666" s="251"/>
      <c r="AF666" s="251"/>
      <c r="AG666" s="251"/>
      <c r="AH666" s="251"/>
      <c r="AI666" s="251"/>
      <c r="AJ666" s="251"/>
      <c r="AK666" s="251"/>
      <c r="AL666" s="251"/>
      <c r="AM666" s="251"/>
      <c r="AN666" s="251"/>
      <c r="AO666" s="251"/>
    </row>
    <row r="667" spans="2:41" x14ac:dyDescent="0.25">
      <c r="B667" s="251"/>
      <c r="C667" s="251"/>
      <c r="D667" s="251"/>
      <c r="E667" s="251"/>
      <c r="F667" s="251"/>
      <c r="G667" s="252"/>
      <c r="H667" s="253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  <c r="AA667" s="251"/>
      <c r="AB667" s="251"/>
      <c r="AC667" s="251"/>
      <c r="AD667" s="251"/>
      <c r="AE667" s="251"/>
      <c r="AF667" s="251"/>
      <c r="AG667" s="251"/>
      <c r="AH667" s="251"/>
      <c r="AI667" s="251"/>
      <c r="AJ667" s="251"/>
      <c r="AK667" s="251"/>
      <c r="AL667" s="251"/>
      <c r="AM667" s="251"/>
      <c r="AN667" s="251"/>
      <c r="AO667" s="251"/>
    </row>
    <row r="668" spans="2:41" x14ac:dyDescent="0.25">
      <c r="B668" s="251"/>
      <c r="C668" s="251"/>
      <c r="D668" s="251"/>
      <c r="E668" s="251"/>
      <c r="F668" s="251"/>
      <c r="G668" s="252"/>
      <c r="H668" s="253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  <c r="AA668" s="251"/>
      <c r="AB668" s="251"/>
      <c r="AC668" s="251"/>
      <c r="AD668" s="251"/>
      <c r="AE668" s="251"/>
      <c r="AF668" s="251"/>
      <c r="AG668" s="251"/>
      <c r="AH668" s="251"/>
      <c r="AI668" s="251"/>
      <c r="AJ668" s="251"/>
      <c r="AK668" s="251"/>
      <c r="AL668" s="251"/>
      <c r="AM668" s="251"/>
      <c r="AN668" s="251"/>
      <c r="AO668" s="251"/>
    </row>
    <row r="669" spans="2:41" x14ac:dyDescent="0.25">
      <c r="B669" s="251"/>
      <c r="C669" s="251"/>
      <c r="D669" s="251"/>
      <c r="E669" s="251"/>
      <c r="F669" s="251"/>
      <c r="G669" s="252"/>
      <c r="H669" s="253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  <c r="AA669" s="251"/>
      <c r="AB669" s="251"/>
      <c r="AC669" s="251"/>
      <c r="AD669" s="251"/>
      <c r="AE669" s="251"/>
      <c r="AF669" s="251"/>
      <c r="AG669" s="251"/>
      <c r="AH669" s="251"/>
      <c r="AI669" s="251"/>
      <c r="AJ669" s="251"/>
      <c r="AK669" s="251"/>
      <c r="AL669" s="251"/>
      <c r="AM669" s="251"/>
      <c r="AN669" s="251"/>
      <c r="AO669" s="251"/>
    </row>
    <row r="670" spans="2:41" x14ac:dyDescent="0.25">
      <c r="B670" s="251"/>
      <c r="C670" s="251"/>
      <c r="D670" s="251"/>
      <c r="E670" s="251"/>
      <c r="F670" s="251"/>
      <c r="G670" s="252"/>
      <c r="H670" s="253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  <c r="AA670" s="251"/>
      <c r="AB670" s="251"/>
      <c r="AC670" s="251"/>
      <c r="AD670" s="251"/>
      <c r="AE670" s="251"/>
      <c r="AF670" s="251"/>
      <c r="AG670" s="251"/>
      <c r="AH670" s="251"/>
      <c r="AI670" s="251"/>
      <c r="AJ670" s="251"/>
      <c r="AK670" s="251"/>
      <c r="AL670" s="251"/>
      <c r="AM670" s="251"/>
      <c r="AN670" s="251"/>
      <c r="AO670" s="251"/>
    </row>
    <row r="671" spans="2:41" x14ac:dyDescent="0.25">
      <c r="B671" s="251"/>
      <c r="C671" s="251"/>
      <c r="D671" s="251"/>
      <c r="E671" s="251"/>
      <c r="F671" s="251"/>
      <c r="G671" s="252"/>
      <c r="H671" s="253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  <c r="AA671" s="251"/>
      <c r="AB671" s="251"/>
      <c r="AC671" s="251"/>
      <c r="AD671" s="251"/>
      <c r="AE671" s="251"/>
      <c r="AF671" s="251"/>
      <c r="AG671" s="251"/>
      <c r="AH671" s="251"/>
      <c r="AI671" s="251"/>
      <c r="AJ671" s="251"/>
      <c r="AK671" s="251"/>
      <c r="AL671" s="251"/>
      <c r="AM671" s="251"/>
      <c r="AN671" s="251"/>
      <c r="AO671" s="251"/>
    </row>
    <row r="672" spans="2:41" x14ac:dyDescent="0.25">
      <c r="B672" s="251"/>
      <c r="C672" s="251"/>
      <c r="D672" s="251"/>
      <c r="E672" s="251"/>
      <c r="F672" s="251"/>
      <c r="G672" s="252"/>
      <c r="H672" s="253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  <c r="AA672" s="251"/>
      <c r="AB672" s="251"/>
      <c r="AC672" s="251"/>
      <c r="AD672" s="251"/>
      <c r="AE672" s="251"/>
      <c r="AF672" s="251"/>
      <c r="AG672" s="251"/>
      <c r="AH672" s="251"/>
      <c r="AI672" s="251"/>
      <c r="AJ672" s="251"/>
      <c r="AK672" s="251"/>
      <c r="AL672" s="251"/>
      <c r="AM672" s="251"/>
      <c r="AN672" s="251"/>
      <c r="AO672" s="251"/>
    </row>
    <row r="673" spans="2:41" x14ac:dyDescent="0.25">
      <c r="B673" s="251"/>
      <c r="C673" s="251"/>
      <c r="D673" s="251"/>
      <c r="E673" s="251"/>
      <c r="F673" s="251"/>
      <c r="G673" s="252"/>
      <c r="H673" s="253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  <c r="AA673" s="251"/>
      <c r="AB673" s="251"/>
      <c r="AC673" s="251"/>
      <c r="AD673" s="251"/>
      <c r="AE673" s="251"/>
      <c r="AF673" s="251"/>
      <c r="AG673" s="251"/>
      <c r="AH673" s="251"/>
      <c r="AI673" s="251"/>
      <c r="AJ673" s="251"/>
      <c r="AK673" s="251"/>
      <c r="AL673" s="251"/>
      <c r="AM673" s="251"/>
      <c r="AN673" s="251"/>
      <c r="AO673" s="251"/>
    </row>
    <row r="674" spans="2:41" x14ac:dyDescent="0.25">
      <c r="B674" s="251"/>
      <c r="C674" s="251"/>
      <c r="D674" s="251"/>
      <c r="E674" s="251"/>
      <c r="F674" s="251"/>
      <c r="G674" s="252"/>
      <c r="H674" s="253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  <c r="AA674" s="251"/>
      <c r="AB674" s="251"/>
      <c r="AC674" s="251"/>
      <c r="AD674" s="251"/>
      <c r="AE674" s="251"/>
      <c r="AF674" s="251"/>
      <c r="AG674" s="251"/>
      <c r="AH674" s="251"/>
      <c r="AI674" s="251"/>
      <c r="AJ674" s="251"/>
      <c r="AK674" s="251"/>
      <c r="AL674" s="251"/>
      <c r="AM674" s="251"/>
      <c r="AN674" s="251"/>
      <c r="AO674" s="251"/>
    </row>
    <row r="675" spans="2:41" x14ac:dyDescent="0.25">
      <c r="B675" s="251"/>
      <c r="C675" s="251"/>
      <c r="D675" s="251"/>
      <c r="E675" s="251"/>
      <c r="F675" s="251"/>
      <c r="G675" s="252"/>
      <c r="H675" s="253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  <c r="AA675" s="251"/>
      <c r="AB675" s="251"/>
      <c r="AC675" s="251"/>
      <c r="AD675" s="251"/>
      <c r="AE675" s="251"/>
      <c r="AF675" s="251"/>
      <c r="AG675" s="251"/>
      <c r="AH675" s="251"/>
      <c r="AI675" s="251"/>
      <c r="AJ675" s="251"/>
      <c r="AK675" s="251"/>
      <c r="AL675" s="251"/>
      <c r="AM675" s="251"/>
      <c r="AN675" s="251"/>
      <c r="AO675" s="251"/>
    </row>
    <row r="676" spans="2:41" x14ac:dyDescent="0.25">
      <c r="B676" s="251"/>
      <c r="C676" s="251"/>
      <c r="D676" s="251"/>
      <c r="E676" s="251"/>
      <c r="F676" s="251"/>
      <c r="G676" s="252"/>
      <c r="H676" s="253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  <c r="AA676" s="251"/>
      <c r="AB676" s="251"/>
      <c r="AC676" s="251"/>
      <c r="AD676" s="251"/>
      <c r="AE676" s="251"/>
      <c r="AF676" s="251"/>
      <c r="AG676" s="251"/>
      <c r="AH676" s="251"/>
      <c r="AI676" s="251"/>
      <c r="AJ676" s="251"/>
      <c r="AK676" s="251"/>
      <c r="AL676" s="251"/>
      <c r="AM676" s="251"/>
      <c r="AN676" s="251"/>
      <c r="AO676" s="251"/>
    </row>
    <row r="677" spans="2:41" x14ac:dyDescent="0.25">
      <c r="B677" s="251"/>
      <c r="C677" s="251"/>
      <c r="D677" s="251"/>
      <c r="E677" s="251"/>
      <c r="F677" s="251"/>
      <c r="G677" s="252"/>
      <c r="H677" s="253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  <c r="AA677" s="251"/>
      <c r="AB677" s="251"/>
      <c r="AC677" s="251"/>
      <c r="AD677" s="251"/>
      <c r="AE677" s="251"/>
      <c r="AF677" s="251"/>
      <c r="AG677" s="251"/>
      <c r="AH677" s="251"/>
      <c r="AI677" s="251"/>
      <c r="AJ677" s="251"/>
      <c r="AK677" s="251"/>
      <c r="AL677" s="251"/>
      <c r="AM677" s="251"/>
      <c r="AN677" s="251"/>
      <c r="AO677" s="251"/>
    </row>
    <row r="678" spans="2:41" x14ac:dyDescent="0.25">
      <c r="B678" s="251"/>
      <c r="C678" s="251"/>
      <c r="D678" s="251"/>
      <c r="E678" s="251"/>
      <c r="F678" s="251"/>
      <c r="G678" s="252"/>
      <c r="H678" s="253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  <c r="AA678" s="251"/>
      <c r="AB678" s="251"/>
      <c r="AC678" s="251"/>
      <c r="AD678" s="251"/>
      <c r="AE678" s="251"/>
      <c r="AF678" s="251"/>
      <c r="AG678" s="251"/>
      <c r="AH678" s="251"/>
      <c r="AI678" s="251"/>
      <c r="AJ678" s="251"/>
      <c r="AK678" s="251"/>
      <c r="AL678" s="251"/>
      <c r="AM678" s="251"/>
      <c r="AN678" s="251"/>
      <c r="AO678" s="251"/>
    </row>
    <row r="679" spans="2:41" x14ac:dyDescent="0.25">
      <c r="B679" s="251"/>
      <c r="C679" s="251"/>
      <c r="D679" s="251"/>
      <c r="E679" s="251"/>
      <c r="F679" s="251"/>
      <c r="G679" s="252"/>
      <c r="H679" s="253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  <c r="AA679" s="251"/>
      <c r="AB679" s="251"/>
      <c r="AC679" s="251"/>
      <c r="AD679" s="251"/>
      <c r="AE679" s="251"/>
      <c r="AF679" s="251"/>
      <c r="AG679" s="251"/>
      <c r="AH679" s="251"/>
      <c r="AI679" s="251"/>
      <c r="AJ679" s="251"/>
      <c r="AK679" s="251"/>
      <c r="AL679" s="251"/>
      <c r="AM679" s="251"/>
      <c r="AN679" s="251"/>
      <c r="AO679" s="251"/>
    </row>
    <row r="680" spans="2:41" x14ac:dyDescent="0.25">
      <c r="B680" s="251"/>
      <c r="C680" s="251"/>
      <c r="D680" s="251"/>
      <c r="E680" s="251"/>
      <c r="F680" s="251"/>
      <c r="G680" s="252"/>
      <c r="H680" s="253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  <c r="AA680" s="251"/>
      <c r="AB680" s="251"/>
      <c r="AC680" s="251"/>
      <c r="AD680" s="251"/>
      <c r="AE680" s="251"/>
      <c r="AF680" s="251"/>
      <c r="AG680" s="251"/>
      <c r="AH680" s="251"/>
      <c r="AI680" s="251"/>
      <c r="AJ680" s="251"/>
      <c r="AK680" s="251"/>
      <c r="AL680" s="251"/>
      <c r="AM680" s="251"/>
      <c r="AN680" s="251"/>
      <c r="AO680" s="251"/>
    </row>
    <row r="681" spans="2:41" x14ac:dyDescent="0.25">
      <c r="B681" s="251"/>
      <c r="C681" s="251"/>
      <c r="D681" s="251"/>
      <c r="E681" s="251"/>
      <c r="F681" s="251"/>
      <c r="G681" s="252"/>
      <c r="H681" s="253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  <c r="AA681" s="251"/>
      <c r="AB681" s="251"/>
      <c r="AC681" s="251"/>
      <c r="AD681" s="251"/>
      <c r="AE681" s="251"/>
      <c r="AF681" s="251"/>
      <c r="AG681" s="251"/>
      <c r="AH681" s="251"/>
      <c r="AI681" s="251"/>
      <c r="AJ681" s="251"/>
      <c r="AK681" s="251"/>
      <c r="AL681" s="251"/>
      <c r="AM681" s="251"/>
      <c r="AN681" s="251"/>
      <c r="AO681" s="251"/>
    </row>
    <row r="682" spans="2:41" x14ac:dyDescent="0.25">
      <c r="B682" s="251"/>
      <c r="C682" s="251"/>
      <c r="D682" s="251"/>
      <c r="E682" s="251"/>
      <c r="F682" s="251"/>
      <c r="G682" s="252"/>
      <c r="H682" s="253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  <c r="AA682" s="251"/>
      <c r="AB682" s="251"/>
      <c r="AC682" s="251"/>
      <c r="AD682" s="251"/>
      <c r="AE682" s="251"/>
      <c r="AF682" s="251"/>
      <c r="AG682" s="251"/>
      <c r="AH682" s="251"/>
      <c r="AI682" s="251"/>
      <c r="AJ682" s="251"/>
      <c r="AK682" s="251"/>
      <c r="AL682" s="251"/>
      <c r="AM682" s="251"/>
      <c r="AN682" s="251"/>
      <c r="AO682" s="251"/>
    </row>
    <row r="683" spans="2:41" x14ac:dyDescent="0.25">
      <c r="B683" s="251"/>
      <c r="C683" s="251"/>
      <c r="D683" s="251"/>
      <c r="E683" s="251"/>
      <c r="F683" s="251"/>
      <c r="G683" s="252"/>
      <c r="H683" s="253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  <c r="AA683" s="251"/>
      <c r="AB683" s="251"/>
      <c r="AC683" s="251"/>
      <c r="AD683" s="251"/>
      <c r="AE683" s="251"/>
      <c r="AF683" s="251"/>
      <c r="AG683" s="251"/>
      <c r="AH683" s="251"/>
      <c r="AI683" s="251"/>
      <c r="AJ683" s="251"/>
      <c r="AK683" s="251"/>
      <c r="AL683" s="251"/>
      <c r="AM683" s="251"/>
      <c r="AN683" s="251"/>
      <c r="AO683" s="251"/>
    </row>
    <row r="684" spans="2:41" x14ac:dyDescent="0.25">
      <c r="B684" s="251"/>
      <c r="C684" s="251"/>
      <c r="D684" s="251"/>
      <c r="E684" s="251"/>
      <c r="F684" s="251"/>
      <c r="G684" s="252"/>
      <c r="H684" s="253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  <c r="AA684" s="251"/>
      <c r="AB684" s="251"/>
      <c r="AC684" s="251"/>
      <c r="AD684" s="251"/>
      <c r="AE684" s="251"/>
      <c r="AF684" s="251"/>
      <c r="AG684" s="251"/>
      <c r="AH684" s="251"/>
      <c r="AI684" s="251"/>
      <c r="AJ684" s="251"/>
      <c r="AK684" s="251"/>
      <c r="AL684" s="251"/>
      <c r="AM684" s="251"/>
      <c r="AN684" s="251"/>
      <c r="AO684" s="251"/>
    </row>
    <row r="685" spans="2:41" x14ac:dyDescent="0.25">
      <c r="B685" s="251"/>
      <c r="C685" s="251"/>
      <c r="D685" s="251"/>
      <c r="E685" s="251"/>
      <c r="F685" s="251"/>
      <c r="G685" s="252"/>
      <c r="H685" s="253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  <c r="AA685" s="251"/>
      <c r="AB685" s="251"/>
      <c r="AC685" s="251"/>
      <c r="AD685" s="251"/>
      <c r="AE685" s="251"/>
      <c r="AF685" s="251"/>
      <c r="AG685" s="251"/>
      <c r="AH685" s="251"/>
      <c r="AI685" s="251"/>
      <c r="AJ685" s="251"/>
      <c r="AK685" s="251"/>
      <c r="AL685" s="251"/>
      <c r="AM685" s="251"/>
      <c r="AN685" s="251"/>
      <c r="AO685" s="251"/>
    </row>
    <row r="686" spans="2:41" x14ac:dyDescent="0.25">
      <c r="B686" s="251"/>
      <c r="C686" s="251"/>
      <c r="D686" s="251"/>
      <c r="E686" s="251"/>
      <c r="F686" s="251"/>
      <c r="G686" s="252"/>
      <c r="H686" s="253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  <c r="AA686" s="251"/>
      <c r="AB686" s="251"/>
      <c r="AC686" s="251"/>
      <c r="AD686" s="251"/>
      <c r="AE686" s="251"/>
      <c r="AF686" s="251"/>
      <c r="AG686" s="251"/>
      <c r="AH686" s="251"/>
      <c r="AI686" s="251"/>
      <c r="AJ686" s="251"/>
      <c r="AK686" s="251"/>
      <c r="AL686" s="251"/>
      <c r="AM686" s="251"/>
      <c r="AN686" s="251"/>
      <c r="AO686" s="251"/>
    </row>
    <row r="687" spans="2:41" x14ac:dyDescent="0.25">
      <c r="B687" s="251"/>
      <c r="C687" s="251"/>
      <c r="D687" s="251"/>
      <c r="E687" s="251"/>
      <c r="F687" s="251"/>
      <c r="G687" s="252"/>
      <c r="H687" s="253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  <c r="AA687" s="251"/>
      <c r="AB687" s="251"/>
      <c r="AC687" s="251"/>
      <c r="AD687" s="251"/>
      <c r="AE687" s="251"/>
      <c r="AF687" s="251"/>
      <c r="AG687" s="251"/>
      <c r="AH687" s="251"/>
      <c r="AI687" s="251"/>
      <c r="AJ687" s="251"/>
      <c r="AK687" s="251"/>
      <c r="AL687" s="251"/>
      <c r="AM687" s="251"/>
      <c r="AN687" s="251"/>
      <c r="AO687" s="251"/>
    </row>
    <row r="688" spans="2:41" x14ac:dyDescent="0.25">
      <c r="B688" s="251"/>
      <c r="C688" s="251"/>
      <c r="D688" s="251"/>
      <c r="E688" s="251"/>
      <c r="F688" s="251"/>
      <c r="G688" s="252"/>
      <c r="H688" s="253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  <c r="AA688" s="251"/>
      <c r="AB688" s="251"/>
      <c r="AC688" s="251"/>
      <c r="AD688" s="251"/>
      <c r="AE688" s="251"/>
      <c r="AF688" s="251"/>
      <c r="AG688" s="251"/>
      <c r="AH688" s="251"/>
      <c r="AI688" s="251"/>
      <c r="AJ688" s="251"/>
      <c r="AK688" s="251"/>
      <c r="AL688" s="251"/>
      <c r="AM688" s="251"/>
      <c r="AN688" s="251"/>
      <c r="AO688" s="251"/>
    </row>
    <row r="689" spans="2:41" x14ac:dyDescent="0.25">
      <c r="B689" s="251"/>
      <c r="C689" s="251"/>
      <c r="D689" s="251"/>
      <c r="E689" s="251"/>
      <c r="F689" s="251"/>
      <c r="G689" s="252"/>
      <c r="H689" s="253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  <c r="AA689" s="251"/>
      <c r="AB689" s="251"/>
      <c r="AC689" s="251"/>
      <c r="AD689" s="251"/>
      <c r="AE689" s="251"/>
      <c r="AF689" s="251"/>
      <c r="AG689" s="251"/>
      <c r="AH689" s="251"/>
      <c r="AI689" s="251"/>
      <c r="AJ689" s="251"/>
      <c r="AK689" s="251"/>
      <c r="AL689" s="251"/>
      <c r="AM689" s="251"/>
      <c r="AN689" s="251"/>
      <c r="AO689" s="251"/>
    </row>
    <row r="690" spans="2:41" x14ac:dyDescent="0.25">
      <c r="B690" s="251"/>
      <c r="C690" s="251"/>
      <c r="D690" s="251"/>
      <c r="E690" s="251"/>
      <c r="F690" s="251"/>
      <c r="G690" s="252"/>
      <c r="H690" s="253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  <c r="AA690" s="251"/>
      <c r="AB690" s="251"/>
      <c r="AC690" s="251"/>
      <c r="AD690" s="251"/>
      <c r="AE690" s="251"/>
      <c r="AF690" s="251"/>
      <c r="AG690" s="251"/>
      <c r="AH690" s="251"/>
      <c r="AI690" s="251"/>
      <c r="AJ690" s="251"/>
      <c r="AK690" s="251"/>
      <c r="AL690" s="251"/>
      <c r="AM690" s="251"/>
      <c r="AN690" s="251"/>
      <c r="AO690" s="251"/>
    </row>
    <row r="691" spans="2:41" x14ac:dyDescent="0.25">
      <c r="B691" s="251"/>
      <c r="C691" s="251"/>
      <c r="D691" s="251"/>
      <c r="E691" s="251"/>
      <c r="F691" s="251"/>
      <c r="G691" s="252"/>
      <c r="H691" s="253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  <c r="AA691" s="251"/>
      <c r="AB691" s="251"/>
      <c r="AC691" s="251"/>
      <c r="AD691" s="251"/>
      <c r="AE691" s="251"/>
      <c r="AF691" s="251"/>
      <c r="AG691" s="251"/>
      <c r="AH691" s="251"/>
      <c r="AI691" s="251"/>
      <c r="AJ691" s="251"/>
      <c r="AK691" s="251"/>
      <c r="AL691" s="251"/>
      <c r="AM691" s="251"/>
      <c r="AN691" s="251"/>
      <c r="AO691" s="251"/>
    </row>
    <row r="692" spans="2:41" x14ac:dyDescent="0.25">
      <c r="B692" s="251"/>
      <c r="C692" s="251"/>
      <c r="D692" s="251"/>
      <c r="E692" s="251"/>
      <c r="F692" s="251"/>
      <c r="G692" s="252"/>
      <c r="H692" s="253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  <c r="AA692" s="251"/>
      <c r="AB692" s="251"/>
      <c r="AC692" s="251"/>
      <c r="AD692" s="251"/>
      <c r="AE692" s="251"/>
      <c r="AF692" s="251"/>
      <c r="AG692" s="251"/>
      <c r="AH692" s="251"/>
      <c r="AI692" s="251"/>
      <c r="AJ692" s="251"/>
      <c r="AK692" s="251"/>
      <c r="AL692" s="251"/>
      <c r="AM692" s="251"/>
      <c r="AN692" s="251"/>
      <c r="AO692" s="251"/>
    </row>
    <row r="693" spans="2:41" x14ac:dyDescent="0.25">
      <c r="B693" s="251"/>
      <c r="C693" s="251"/>
      <c r="D693" s="251"/>
      <c r="E693" s="251"/>
      <c r="F693" s="251"/>
      <c r="G693" s="252"/>
      <c r="H693" s="253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  <c r="AA693" s="251"/>
      <c r="AB693" s="251"/>
      <c r="AC693" s="251"/>
      <c r="AD693" s="251"/>
      <c r="AE693" s="251"/>
      <c r="AF693" s="251"/>
      <c r="AG693" s="251"/>
      <c r="AH693" s="251"/>
      <c r="AI693" s="251"/>
      <c r="AJ693" s="251"/>
      <c r="AK693" s="251"/>
      <c r="AL693" s="251"/>
      <c r="AM693" s="251"/>
      <c r="AN693" s="251"/>
      <c r="AO693" s="251"/>
    </row>
    <row r="694" spans="2:41" x14ac:dyDescent="0.25">
      <c r="B694" s="251"/>
      <c r="C694" s="251"/>
      <c r="D694" s="251"/>
      <c r="E694" s="251"/>
      <c r="F694" s="251"/>
      <c r="G694" s="252"/>
      <c r="H694" s="253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  <c r="AA694" s="251"/>
      <c r="AB694" s="251"/>
      <c r="AC694" s="251"/>
      <c r="AD694" s="251"/>
      <c r="AE694" s="251"/>
      <c r="AF694" s="251"/>
      <c r="AG694" s="251"/>
      <c r="AH694" s="251"/>
      <c r="AI694" s="251"/>
      <c r="AJ694" s="251"/>
      <c r="AK694" s="251"/>
      <c r="AL694" s="251"/>
      <c r="AM694" s="251"/>
      <c r="AN694" s="251"/>
      <c r="AO694" s="251"/>
    </row>
    <row r="695" spans="2:41" x14ac:dyDescent="0.25">
      <c r="B695" s="251"/>
      <c r="C695" s="251"/>
      <c r="D695" s="251"/>
      <c r="E695" s="251"/>
      <c r="F695" s="251"/>
      <c r="G695" s="252"/>
      <c r="H695" s="253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  <c r="AA695" s="251"/>
      <c r="AB695" s="251"/>
      <c r="AC695" s="251"/>
      <c r="AD695" s="251"/>
      <c r="AE695" s="251"/>
      <c r="AF695" s="251"/>
      <c r="AG695" s="251"/>
      <c r="AH695" s="251"/>
      <c r="AI695" s="251"/>
      <c r="AJ695" s="251"/>
      <c r="AK695" s="251"/>
      <c r="AL695" s="251"/>
      <c r="AM695" s="251"/>
      <c r="AN695" s="251"/>
      <c r="AO695" s="251"/>
    </row>
    <row r="696" spans="2:41" x14ac:dyDescent="0.25">
      <c r="B696" s="251"/>
      <c r="C696" s="251"/>
      <c r="D696" s="251"/>
      <c r="E696" s="251"/>
      <c r="F696" s="251"/>
      <c r="G696" s="252"/>
      <c r="H696" s="253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  <c r="AA696" s="251"/>
      <c r="AB696" s="251"/>
      <c r="AC696" s="251"/>
      <c r="AD696" s="251"/>
      <c r="AE696" s="251"/>
      <c r="AF696" s="251"/>
      <c r="AG696" s="251"/>
      <c r="AH696" s="251"/>
      <c r="AI696" s="251"/>
      <c r="AJ696" s="251"/>
      <c r="AK696" s="251"/>
      <c r="AL696" s="251"/>
      <c r="AM696" s="251"/>
      <c r="AN696" s="251"/>
      <c r="AO696" s="251"/>
    </row>
    <row r="697" spans="2:41" x14ac:dyDescent="0.25">
      <c r="B697" s="251"/>
      <c r="C697" s="251"/>
      <c r="D697" s="251"/>
      <c r="E697" s="251"/>
      <c r="F697" s="251"/>
      <c r="G697" s="252"/>
      <c r="H697" s="253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  <c r="AA697" s="251"/>
      <c r="AB697" s="251"/>
      <c r="AC697" s="251"/>
      <c r="AD697" s="251"/>
      <c r="AE697" s="251"/>
      <c r="AF697" s="251"/>
      <c r="AG697" s="251"/>
      <c r="AH697" s="251"/>
      <c r="AI697" s="251"/>
      <c r="AJ697" s="251"/>
      <c r="AK697" s="251"/>
      <c r="AL697" s="251"/>
      <c r="AM697" s="251"/>
      <c r="AN697" s="251"/>
      <c r="AO697" s="251"/>
    </row>
    <row r="698" spans="2:41" x14ac:dyDescent="0.25">
      <c r="B698" s="251"/>
      <c r="C698" s="251"/>
      <c r="D698" s="251"/>
      <c r="E698" s="251"/>
      <c r="F698" s="251"/>
      <c r="G698" s="252"/>
      <c r="H698" s="253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  <c r="AA698" s="251"/>
      <c r="AB698" s="251"/>
      <c r="AC698" s="251"/>
      <c r="AD698" s="251"/>
      <c r="AE698" s="251"/>
      <c r="AF698" s="251"/>
      <c r="AG698" s="251"/>
      <c r="AH698" s="251"/>
      <c r="AI698" s="251"/>
      <c r="AJ698" s="251"/>
      <c r="AK698" s="251"/>
      <c r="AL698" s="251"/>
      <c r="AM698" s="251"/>
      <c r="AN698" s="251"/>
      <c r="AO698" s="251"/>
    </row>
    <row r="699" spans="2:41" x14ac:dyDescent="0.25">
      <c r="B699" s="251"/>
      <c r="C699" s="251"/>
      <c r="D699" s="251"/>
      <c r="E699" s="251"/>
      <c r="F699" s="251"/>
      <c r="G699" s="252"/>
      <c r="H699" s="253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  <c r="AA699" s="251"/>
      <c r="AB699" s="251"/>
      <c r="AC699" s="251"/>
      <c r="AD699" s="251"/>
      <c r="AE699" s="251"/>
      <c r="AF699" s="251"/>
      <c r="AG699" s="251"/>
      <c r="AH699" s="251"/>
      <c r="AI699" s="251"/>
      <c r="AJ699" s="251"/>
      <c r="AK699" s="251"/>
      <c r="AL699" s="251"/>
      <c r="AM699" s="251"/>
      <c r="AN699" s="251"/>
      <c r="AO699" s="251"/>
    </row>
    <row r="700" spans="2:41" x14ac:dyDescent="0.25">
      <c r="B700" s="251"/>
      <c r="C700" s="251"/>
      <c r="D700" s="251"/>
      <c r="E700" s="251"/>
      <c r="F700" s="251"/>
      <c r="G700" s="252"/>
      <c r="H700" s="253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  <c r="AA700" s="251"/>
      <c r="AB700" s="251"/>
      <c r="AC700" s="251"/>
      <c r="AD700" s="251"/>
      <c r="AE700" s="251"/>
      <c r="AF700" s="251"/>
      <c r="AG700" s="251"/>
      <c r="AH700" s="251"/>
      <c r="AI700" s="251"/>
      <c r="AJ700" s="251"/>
      <c r="AK700" s="251"/>
      <c r="AL700" s="251"/>
      <c r="AM700" s="251"/>
      <c r="AN700" s="251"/>
      <c r="AO700" s="251"/>
    </row>
    <row r="701" spans="2:41" x14ac:dyDescent="0.25">
      <c r="B701" s="251"/>
      <c r="C701" s="251"/>
      <c r="D701" s="251"/>
      <c r="E701" s="251"/>
      <c r="F701" s="251"/>
      <c r="G701" s="252"/>
      <c r="H701" s="253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  <c r="AA701" s="251"/>
      <c r="AB701" s="251"/>
      <c r="AC701" s="251"/>
      <c r="AD701" s="251"/>
      <c r="AE701" s="251"/>
      <c r="AF701" s="251"/>
      <c r="AG701" s="251"/>
      <c r="AH701" s="251"/>
      <c r="AI701" s="251"/>
      <c r="AJ701" s="251"/>
      <c r="AK701" s="251"/>
      <c r="AL701" s="251"/>
      <c r="AM701" s="251"/>
      <c r="AN701" s="251"/>
      <c r="AO701" s="251"/>
    </row>
    <row r="702" spans="2:41" x14ac:dyDescent="0.25">
      <c r="B702" s="251"/>
      <c r="C702" s="251"/>
      <c r="D702" s="251"/>
      <c r="E702" s="251"/>
      <c r="F702" s="251"/>
      <c r="G702" s="252"/>
      <c r="H702" s="253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  <c r="AA702" s="251"/>
      <c r="AB702" s="251"/>
      <c r="AC702" s="251"/>
      <c r="AD702" s="251"/>
      <c r="AE702" s="251"/>
      <c r="AF702" s="251"/>
      <c r="AG702" s="251"/>
      <c r="AH702" s="251"/>
      <c r="AI702" s="251"/>
      <c r="AJ702" s="251"/>
      <c r="AK702" s="251"/>
      <c r="AL702" s="251"/>
      <c r="AM702" s="251"/>
      <c r="AN702" s="251"/>
      <c r="AO702" s="251"/>
    </row>
    <row r="703" spans="2:41" x14ac:dyDescent="0.25">
      <c r="B703" s="251"/>
      <c r="C703" s="251"/>
      <c r="D703" s="251"/>
      <c r="E703" s="251"/>
      <c r="F703" s="251"/>
      <c r="G703" s="252"/>
      <c r="H703" s="253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  <c r="AA703" s="251"/>
      <c r="AB703" s="251"/>
      <c r="AC703" s="251"/>
      <c r="AD703" s="251"/>
      <c r="AE703" s="251"/>
      <c r="AF703" s="251"/>
      <c r="AG703" s="251"/>
      <c r="AH703" s="251"/>
      <c r="AI703" s="251"/>
      <c r="AJ703" s="251"/>
      <c r="AK703" s="251"/>
      <c r="AL703" s="251"/>
      <c r="AM703" s="251"/>
      <c r="AN703" s="251"/>
      <c r="AO703" s="251"/>
    </row>
    <row r="704" spans="2:41" x14ac:dyDescent="0.25">
      <c r="B704" s="251"/>
      <c r="C704" s="251"/>
      <c r="D704" s="251"/>
      <c r="E704" s="251"/>
      <c r="F704" s="251"/>
      <c r="G704" s="252"/>
      <c r="H704" s="253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  <c r="AA704" s="251"/>
      <c r="AB704" s="251"/>
      <c r="AC704" s="251"/>
      <c r="AD704" s="251"/>
      <c r="AE704" s="251"/>
      <c r="AF704" s="251"/>
      <c r="AG704" s="251"/>
      <c r="AH704" s="251"/>
      <c r="AI704" s="251"/>
      <c r="AJ704" s="251"/>
      <c r="AK704" s="251"/>
      <c r="AL704" s="251"/>
      <c r="AM704" s="251"/>
      <c r="AN704" s="251"/>
      <c r="AO704" s="251"/>
    </row>
    <row r="705" spans="2:41" x14ac:dyDescent="0.25">
      <c r="B705" s="251"/>
      <c r="C705" s="251"/>
      <c r="D705" s="251"/>
      <c r="E705" s="251"/>
      <c r="F705" s="251"/>
      <c r="G705" s="252"/>
      <c r="H705" s="253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  <c r="AA705" s="251"/>
      <c r="AB705" s="251"/>
      <c r="AC705" s="251"/>
      <c r="AD705" s="251"/>
      <c r="AE705" s="251"/>
      <c r="AF705" s="251"/>
      <c r="AG705" s="251"/>
      <c r="AH705" s="251"/>
      <c r="AI705" s="251"/>
      <c r="AJ705" s="251"/>
      <c r="AK705" s="251"/>
      <c r="AL705" s="251"/>
      <c r="AM705" s="251"/>
      <c r="AN705" s="251"/>
      <c r="AO705" s="251"/>
    </row>
    <row r="706" spans="2:41" x14ac:dyDescent="0.25">
      <c r="B706" s="251"/>
      <c r="C706" s="251"/>
      <c r="D706" s="251"/>
      <c r="E706" s="251"/>
      <c r="F706" s="251"/>
      <c r="G706" s="252"/>
      <c r="H706" s="253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  <c r="AA706" s="251"/>
      <c r="AB706" s="251"/>
      <c r="AC706" s="251"/>
      <c r="AD706" s="251"/>
      <c r="AE706" s="251"/>
      <c r="AF706" s="251"/>
      <c r="AG706" s="251"/>
      <c r="AH706" s="251"/>
      <c r="AI706" s="251"/>
      <c r="AJ706" s="251"/>
      <c r="AK706" s="251"/>
      <c r="AL706" s="251"/>
      <c r="AM706" s="251"/>
      <c r="AN706" s="251"/>
      <c r="AO706" s="251"/>
    </row>
    <row r="707" spans="2:41" x14ac:dyDescent="0.25">
      <c r="B707" s="251"/>
      <c r="C707" s="251"/>
      <c r="D707" s="251"/>
      <c r="E707" s="251"/>
      <c r="F707" s="251"/>
      <c r="G707" s="252"/>
      <c r="H707" s="253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  <c r="AA707" s="251"/>
      <c r="AB707" s="251"/>
      <c r="AC707" s="251"/>
      <c r="AD707" s="251"/>
      <c r="AE707" s="251"/>
      <c r="AF707" s="251"/>
      <c r="AG707" s="251"/>
      <c r="AH707" s="251"/>
      <c r="AI707" s="251"/>
      <c r="AJ707" s="251"/>
      <c r="AK707" s="251"/>
      <c r="AL707" s="251"/>
      <c r="AM707" s="251"/>
      <c r="AN707" s="251"/>
      <c r="AO707" s="251"/>
    </row>
    <row r="708" spans="2:41" x14ac:dyDescent="0.25">
      <c r="B708" s="251"/>
      <c r="C708" s="251"/>
      <c r="D708" s="251"/>
      <c r="E708" s="251"/>
      <c r="F708" s="251"/>
      <c r="G708" s="252"/>
      <c r="H708" s="253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  <c r="AA708" s="251"/>
      <c r="AB708" s="251"/>
      <c r="AC708" s="251"/>
      <c r="AD708" s="251"/>
      <c r="AE708" s="251"/>
      <c r="AF708" s="251"/>
      <c r="AG708" s="251"/>
      <c r="AH708" s="251"/>
      <c r="AI708" s="251"/>
      <c r="AJ708" s="251"/>
      <c r="AK708" s="251"/>
      <c r="AL708" s="251"/>
      <c r="AM708" s="251"/>
      <c r="AN708" s="251"/>
      <c r="AO708" s="251"/>
    </row>
    <row r="709" spans="2:41" x14ac:dyDescent="0.25">
      <c r="B709" s="251"/>
      <c r="C709" s="251"/>
      <c r="D709" s="251"/>
      <c r="E709" s="251"/>
      <c r="F709" s="251"/>
      <c r="G709" s="252"/>
      <c r="H709" s="253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  <c r="AA709" s="251"/>
      <c r="AB709" s="251"/>
      <c r="AC709" s="251"/>
      <c r="AD709" s="251"/>
      <c r="AE709" s="251"/>
      <c r="AF709" s="251"/>
      <c r="AG709" s="251"/>
      <c r="AH709" s="251"/>
      <c r="AI709" s="251"/>
      <c r="AJ709" s="251"/>
      <c r="AK709" s="251"/>
      <c r="AL709" s="251"/>
      <c r="AM709" s="251"/>
      <c r="AN709" s="251"/>
      <c r="AO709" s="251"/>
    </row>
    <row r="710" spans="2:41" x14ac:dyDescent="0.25">
      <c r="B710" s="251"/>
      <c r="C710" s="251"/>
      <c r="D710" s="251"/>
      <c r="E710" s="251"/>
      <c r="F710" s="251"/>
      <c r="G710" s="252"/>
      <c r="H710" s="253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  <c r="AA710" s="251"/>
      <c r="AB710" s="251"/>
      <c r="AC710" s="251"/>
      <c r="AD710" s="251"/>
      <c r="AE710" s="251"/>
      <c r="AF710" s="251"/>
      <c r="AG710" s="251"/>
      <c r="AH710" s="251"/>
      <c r="AI710" s="251"/>
      <c r="AJ710" s="251"/>
      <c r="AK710" s="251"/>
      <c r="AL710" s="251"/>
      <c r="AM710" s="251"/>
      <c r="AN710" s="251"/>
      <c r="AO710" s="251"/>
    </row>
    <row r="711" spans="2:41" x14ac:dyDescent="0.25">
      <c r="B711" s="251"/>
      <c r="C711" s="251"/>
      <c r="D711" s="251"/>
      <c r="E711" s="251"/>
      <c r="F711" s="251"/>
      <c r="G711" s="252"/>
      <c r="H711" s="253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  <c r="AA711" s="251"/>
      <c r="AB711" s="251"/>
      <c r="AC711" s="251"/>
      <c r="AD711" s="251"/>
      <c r="AE711" s="251"/>
      <c r="AF711" s="251"/>
      <c r="AG711" s="251"/>
      <c r="AH711" s="251"/>
      <c r="AI711" s="251"/>
      <c r="AJ711" s="251"/>
      <c r="AK711" s="251"/>
      <c r="AL711" s="251"/>
      <c r="AM711" s="251"/>
      <c r="AN711" s="251"/>
      <c r="AO711" s="251"/>
    </row>
    <row r="712" spans="2:41" x14ac:dyDescent="0.25">
      <c r="B712" s="251"/>
      <c r="C712" s="251"/>
      <c r="D712" s="251"/>
      <c r="E712" s="251"/>
      <c r="F712" s="251"/>
      <c r="G712" s="252"/>
      <c r="H712" s="253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  <c r="AA712" s="251"/>
      <c r="AB712" s="251"/>
      <c r="AC712" s="251"/>
      <c r="AD712" s="251"/>
      <c r="AE712" s="251"/>
      <c r="AF712" s="251"/>
      <c r="AG712" s="251"/>
      <c r="AH712" s="251"/>
      <c r="AI712" s="251"/>
      <c r="AJ712" s="251"/>
      <c r="AK712" s="251"/>
      <c r="AL712" s="251"/>
      <c r="AM712" s="251"/>
      <c r="AN712" s="251"/>
      <c r="AO712" s="251"/>
    </row>
    <row r="713" spans="2:41" x14ac:dyDescent="0.25">
      <c r="B713" s="251"/>
      <c r="C713" s="251"/>
      <c r="D713" s="251"/>
      <c r="E713" s="251"/>
      <c r="F713" s="251"/>
      <c r="G713" s="252"/>
      <c r="H713" s="253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  <c r="AA713" s="251"/>
      <c r="AB713" s="251"/>
      <c r="AC713" s="251"/>
      <c r="AD713" s="251"/>
      <c r="AE713" s="251"/>
      <c r="AF713" s="251"/>
      <c r="AG713" s="251"/>
      <c r="AH713" s="251"/>
      <c r="AI713" s="251"/>
      <c r="AJ713" s="251"/>
      <c r="AK713" s="251"/>
      <c r="AL713" s="251"/>
      <c r="AM713" s="251"/>
      <c r="AN713" s="251"/>
      <c r="AO713" s="251"/>
    </row>
    <row r="714" spans="2:41" x14ac:dyDescent="0.25">
      <c r="B714" s="251"/>
      <c r="C714" s="251"/>
      <c r="D714" s="251"/>
      <c r="E714" s="251"/>
      <c r="F714" s="251"/>
      <c r="G714" s="252"/>
      <c r="H714" s="253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  <c r="AA714" s="251"/>
      <c r="AB714" s="251"/>
      <c r="AC714" s="251"/>
      <c r="AD714" s="251"/>
      <c r="AE714" s="251"/>
      <c r="AF714" s="251"/>
      <c r="AG714" s="251"/>
      <c r="AH714" s="251"/>
      <c r="AI714" s="251"/>
      <c r="AJ714" s="251"/>
      <c r="AK714" s="251"/>
      <c r="AL714" s="251"/>
      <c r="AM714" s="251"/>
      <c r="AN714" s="251"/>
      <c r="AO714" s="251"/>
    </row>
    <row r="715" spans="2:41" x14ac:dyDescent="0.25">
      <c r="B715" s="251"/>
      <c r="C715" s="251"/>
      <c r="D715" s="251"/>
      <c r="E715" s="251"/>
      <c r="F715" s="251"/>
      <c r="G715" s="252"/>
      <c r="H715" s="253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  <c r="AA715" s="251"/>
      <c r="AB715" s="251"/>
      <c r="AC715" s="251"/>
      <c r="AD715" s="251"/>
      <c r="AE715" s="251"/>
      <c r="AF715" s="251"/>
      <c r="AG715" s="251"/>
      <c r="AH715" s="251"/>
      <c r="AI715" s="251"/>
      <c r="AJ715" s="251"/>
      <c r="AK715" s="251"/>
      <c r="AL715" s="251"/>
      <c r="AM715" s="251"/>
      <c r="AN715" s="251"/>
      <c r="AO715" s="251"/>
    </row>
    <row r="716" spans="2:41" x14ac:dyDescent="0.25">
      <c r="B716" s="251"/>
      <c r="C716" s="251"/>
      <c r="D716" s="251"/>
      <c r="E716" s="251"/>
      <c r="F716" s="251"/>
      <c r="G716" s="252"/>
      <c r="H716" s="253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  <c r="AA716" s="251"/>
      <c r="AB716" s="251"/>
      <c r="AC716" s="251"/>
      <c r="AD716" s="251"/>
      <c r="AE716" s="251"/>
      <c r="AF716" s="251"/>
      <c r="AG716" s="251"/>
      <c r="AH716" s="251"/>
      <c r="AI716" s="251"/>
      <c r="AJ716" s="251"/>
      <c r="AK716" s="251"/>
      <c r="AL716" s="251"/>
      <c r="AM716" s="251"/>
      <c r="AN716" s="251"/>
      <c r="AO716" s="251"/>
    </row>
    <row r="717" spans="2:41" x14ac:dyDescent="0.25">
      <c r="B717" s="251"/>
      <c r="C717" s="251"/>
      <c r="D717" s="251"/>
      <c r="E717" s="251"/>
      <c r="F717" s="251"/>
      <c r="G717" s="252"/>
      <c r="H717" s="253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  <c r="AA717" s="251"/>
      <c r="AB717" s="251"/>
      <c r="AC717" s="251"/>
      <c r="AD717" s="251"/>
      <c r="AE717" s="251"/>
      <c r="AF717" s="251"/>
      <c r="AG717" s="251"/>
      <c r="AH717" s="251"/>
      <c r="AI717" s="251"/>
      <c r="AJ717" s="251"/>
      <c r="AK717" s="251"/>
      <c r="AL717" s="251"/>
      <c r="AM717" s="251"/>
      <c r="AN717" s="251"/>
      <c r="AO717" s="251"/>
    </row>
    <row r="718" spans="2:41" x14ac:dyDescent="0.25">
      <c r="B718" s="251"/>
      <c r="C718" s="251"/>
      <c r="D718" s="251"/>
      <c r="E718" s="251"/>
      <c r="F718" s="251"/>
      <c r="G718" s="252"/>
      <c r="H718" s="253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  <c r="AA718" s="251"/>
      <c r="AB718" s="251"/>
      <c r="AC718" s="251"/>
      <c r="AD718" s="251"/>
      <c r="AE718" s="251"/>
      <c r="AF718" s="251"/>
      <c r="AG718" s="251"/>
      <c r="AH718" s="251"/>
      <c r="AI718" s="251"/>
      <c r="AJ718" s="251"/>
      <c r="AK718" s="251"/>
      <c r="AL718" s="251"/>
      <c r="AM718" s="251"/>
      <c r="AN718" s="251"/>
      <c r="AO718" s="251"/>
    </row>
    <row r="719" spans="2:41" x14ac:dyDescent="0.25">
      <c r="B719" s="251"/>
      <c r="C719" s="251"/>
      <c r="D719" s="251"/>
      <c r="E719" s="251"/>
      <c r="F719" s="251"/>
      <c r="G719" s="252"/>
      <c r="H719" s="253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  <c r="AA719" s="251"/>
      <c r="AB719" s="251"/>
      <c r="AC719" s="251"/>
      <c r="AD719" s="251"/>
      <c r="AE719" s="251"/>
      <c r="AF719" s="251"/>
      <c r="AG719" s="251"/>
      <c r="AH719" s="251"/>
      <c r="AI719" s="251"/>
      <c r="AJ719" s="251"/>
      <c r="AK719" s="251"/>
      <c r="AL719" s="251"/>
      <c r="AM719" s="251"/>
      <c r="AN719" s="251"/>
      <c r="AO719" s="251"/>
    </row>
    <row r="720" spans="2:41" x14ac:dyDescent="0.25">
      <c r="B720" s="251"/>
      <c r="C720" s="251"/>
      <c r="D720" s="251"/>
      <c r="E720" s="251"/>
      <c r="F720" s="251"/>
      <c r="G720" s="252"/>
      <c r="H720" s="253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  <c r="AA720" s="251"/>
      <c r="AB720" s="251"/>
      <c r="AC720" s="251"/>
      <c r="AD720" s="251"/>
      <c r="AE720" s="251"/>
      <c r="AF720" s="251"/>
      <c r="AG720" s="251"/>
      <c r="AH720" s="251"/>
      <c r="AI720" s="251"/>
      <c r="AJ720" s="251"/>
      <c r="AK720" s="251"/>
      <c r="AL720" s="251"/>
      <c r="AM720" s="251"/>
      <c r="AN720" s="251"/>
      <c r="AO720" s="251"/>
    </row>
    <row r="721" spans="2:41" x14ac:dyDescent="0.25">
      <c r="B721" s="251"/>
      <c r="C721" s="251"/>
      <c r="D721" s="251"/>
      <c r="E721" s="251"/>
      <c r="F721" s="251"/>
      <c r="G721" s="252"/>
      <c r="H721" s="253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  <c r="AA721" s="251"/>
      <c r="AB721" s="251"/>
      <c r="AC721" s="251"/>
      <c r="AD721" s="251"/>
      <c r="AE721" s="251"/>
      <c r="AF721" s="251"/>
      <c r="AG721" s="251"/>
      <c r="AH721" s="251"/>
      <c r="AI721" s="251"/>
      <c r="AJ721" s="251"/>
      <c r="AK721" s="251"/>
      <c r="AL721" s="251"/>
      <c r="AM721" s="251"/>
      <c r="AN721" s="251"/>
      <c r="AO721" s="251"/>
    </row>
    <row r="722" spans="2:41" x14ac:dyDescent="0.25">
      <c r="B722" s="251"/>
      <c r="C722" s="251"/>
      <c r="D722" s="251"/>
      <c r="E722" s="251"/>
      <c r="F722" s="251"/>
      <c r="G722" s="252"/>
      <c r="H722" s="253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  <c r="AA722" s="251"/>
      <c r="AB722" s="251"/>
      <c r="AC722" s="251"/>
      <c r="AD722" s="251"/>
      <c r="AE722" s="251"/>
      <c r="AF722" s="251"/>
      <c r="AG722" s="251"/>
      <c r="AH722" s="251"/>
      <c r="AI722" s="251"/>
      <c r="AJ722" s="251"/>
      <c r="AK722" s="251"/>
      <c r="AL722" s="251"/>
      <c r="AM722" s="251"/>
      <c r="AN722" s="251"/>
      <c r="AO722" s="251"/>
    </row>
    <row r="723" spans="2:41" x14ac:dyDescent="0.25">
      <c r="B723" s="251"/>
      <c r="C723" s="251"/>
      <c r="D723" s="251"/>
      <c r="E723" s="251"/>
      <c r="F723" s="251"/>
      <c r="G723" s="252"/>
      <c r="H723" s="253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  <c r="AA723" s="251"/>
      <c r="AB723" s="251"/>
      <c r="AC723" s="251"/>
      <c r="AD723" s="251"/>
      <c r="AE723" s="251"/>
      <c r="AF723" s="251"/>
      <c r="AG723" s="251"/>
      <c r="AH723" s="251"/>
      <c r="AI723" s="251"/>
      <c r="AJ723" s="251"/>
      <c r="AK723" s="251"/>
      <c r="AL723" s="251"/>
      <c r="AM723" s="251"/>
      <c r="AN723" s="251"/>
      <c r="AO723" s="251"/>
    </row>
    <row r="724" spans="2:41" x14ac:dyDescent="0.25">
      <c r="B724" s="251"/>
      <c r="C724" s="251"/>
      <c r="D724" s="251"/>
      <c r="E724" s="251"/>
      <c r="F724" s="251"/>
      <c r="G724" s="252"/>
      <c r="H724" s="253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  <c r="AA724" s="251"/>
      <c r="AB724" s="251"/>
      <c r="AC724" s="251"/>
      <c r="AD724" s="251"/>
      <c r="AE724" s="251"/>
      <c r="AF724" s="251"/>
      <c r="AG724" s="251"/>
      <c r="AH724" s="251"/>
      <c r="AI724" s="251"/>
      <c r="AJ724" s="251"/>
      <c r="AK724" s="251"/>
      <c r="AL724" s="251"/>
      <c r="AM724" s="251"/>
      <c r="AN724" s="251"/>
      <c r="AO724" s="251"/>
    </row>
    <row r="725" spans="2:41" x14ac:dyDescent="0.25">
      <c r="B725" s="251"/>
      <c r="C725" s="251"/>
      <c r="D725" s="251"/>
      <c r="E725" s="251"/>
      <c r="F725" s="251"/>
      <c r="G725" s="252"/>
      <c r="H725" s="253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  <c r="AA725" s="251"/>
      <c r="AB725" s="251"/>
      <c r="AC725" s="251"/>
      <c r="AD725" s="251"/>
      <c r="AE725" s="251"/>
      <c r="AF725" s="251"/>
      <c r="AG725" s="251"/>
      <c r="AH725" s="251"/>
      <c r="AI725" s="251"/>
      <c r="AJ725" s="251"/>
      <c r="AK725" s="251"/>
      <c r="AL725" s="251"/>
      <c r="AM725" s="251"/>
      <c r="AN725" s="251"/>
      <c r="AO725" s="251"/>
    </row>
    <row r="726" spans="2:41" x14ac:dyDescent="0.25">
      <c r="B726" s="251"/>
      <c r="C726" s="251"/>
      <c r="D726" s="251"/>
      <c r="E726" s="251"/>
      <c r="F726" s="251"/>
      <c r="G726" s="252"/>
      <c r="H726" s="253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  <c r="AA726" s="251"/>
      <c r="AB726" s="251"/>
      <c r="AC726" s="251"/>
      <c r="AD726" s="251"/>
      <c r="AE726" s="251"/>
      <c r="AF726" s="251"/>
      <c r="AG726" s="251"/>
      <c r="AH726" s="251"/>
      <c r="AI726" s="251"/>
      <c r="AJ726" s="251"/>
      <c r="AK726" s="251"/>
      <c r="AL726" s="251"/>
      <c r="AM726" s="251"/>
      <c r="AN726" s="251"/>
      <c r="AO726" s="251"/>
    </row>
    <row r="727" spans="2:41" x14ac:dyDescent="0.25">
      <c r="B727" s="251"/>
      <c r="C727" s="251"/>
      <c r="D727" s="251"/>
      <c r="E727" s="251"/>
      <c r="F727" s="251"/>
      <c r="G727" s="252"/>
      <c r="H727" s="253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  <c r="AA727" s="251"/>
      <c r="AB727" s="251"/>
      <c r="AC727" s="251"/>
      <c r="AD727" s="251"/>
      <c r="AE727" s="251"/>
      <c r="AF727" s="251"/>
      <c r="AG727" s="251"/>
      <c r="AH727" s="251"/>
      <c r="AI727" s="251"/>
      <c r="AJ727" s="251"/>
      <c r="AK727" s="251"/>
      <c r="AL727" s="251"/>
      <c r="AM727" s="251"/>
      <c r="AN727" s="251"/>
      <c r="AO727" s="251"/>
    </row>
    <row r="728" spans="2:41" x14ac:dyDescent="0.25">
      <c r="B728" s="251"/>
      <c r="C728" s="251"/>
      <c r="D728" s="251"/>
      <c r="E728" s="251"/>
      <c r="F728" s="251"/>
      <c r="G728" s="252"/>
      <c r="H728" s="253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  <c r="AA728" s="251"/>
      <c r="AB728" s="251"/>
      <c r="AC728" s="251"/>
      <c r="AD728" s="251"/>
      <c r="AE728" s="251"/>
      <c r="AF728" s="251"/>
      <c r="AG728" s="251"/>
      <c r="AH728" s="251"/>
      <c r="AI728" s="251"/>
      <c r="AJ728" s="251"/>
      <c r="AK728" s="251"/>
      <c r="AL728" s="251"/>
      <c r="AM728" s="251"/>
      <c r="AN728" s="251"/>
      <c r="AO728" s="251"/>
    </row>
    <row r="729" spans="2:41" x14ac:dyDescent="0.25">
      <c r="B729" s="251"/>
      <c r="C729" s="251"/>
      <c r="D729" s="251"/>
      <c r="E729" s="251"/>
      <c r="F729" s="251"/>
      <c r="G729" s="252"/>
      <c r="H729" s="253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  <c r="AA729" s="251"/>
      <c r="AB729" s="251"/>
      <c r="AC729" s="251"/>
      <c r="AD729" s="251"/>
      <c r="AE729" s="251"/>
      <c r="AF729" s="251"/>
      <c r="AG729" s="251"/>
      <c r="AH729" s="251"/>
      <c r="AI729" s="251"/>
      <c r="AJ729" s="251"/>
      <c r="AK729" s="251"/>
      <c r="AL729" s="251"/>
      <c r="AM729" s="251"/>
      <c r="AN729" s="251"/>
      <c r="AO729" s="251"/>
    </row>
    <row r="730" spans="2:41" x14ac:dyDescent="0.25">
      <c r="B730" s="251"/>
      <c r="C730" s="251"/>
      <c r="D730" s="251"/>
      <c r="E730" s="251"/>
      <c r="F730" s="251"/>
      <c r="G730" s="252"/>
      <c r="H730" s="253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  <c r="AA730" s="251"/>
      <c r="AB730" s="251"/>
      <c r="AC730" s="251"/>
      <c r="AD730" s="251"/>
      <c r="AE730" s="251"/>
      <c r="AF730" s="251"/>
      <c r="AG730" s="251"/>
      <c r="AH730" s="251"/>
      <c r="AI730" s="251"/>
      <c r="AJ730" s="251"/>
      <c r="AK730" s="251"/>
      <c r="AL730" s="251"/>
      <c r="AM730" s="251"/>
      <c r="AN730" s="251"/>
      <c r="AO730" s="251"/>
    </row>
    <row r="731" spans="2:41" x14ac:dyDescent="0.25">
      <c r="B731" s="251"/>
      <c r="C731" s="251"/>
      <c r="D731" s="251"/>
      <c r="E731" s="251"/>
      <c r="F731" s="251"/>
      <c r="G731" s="252"/>
      <c r="H731" s="253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  <c r="AA731" s="251"/>
      <c r="AB731" s="251"/>
      <c r="AC731" s="251"/>
      <c r="AD731" s="251"/>
      <c r="AE731" s="251"/>
      <c r="AF731" s="251"/>
      <c r="AG731" s="251"/>
      <c r="AH731" s="251"/>
      <c r="AI731" s="251"/>
      <c r="AJ731" s="251"/>
      <c r="AK731" s="251"/>
      <c r="AL731" s="251"/>
      <c r="AM731" s="251"/>
      <c r="AN731" s="251"/>
      <c r="AO731" s="251"/>
    </row>
    <row r="732" spans="2:41" x14ac:dyDescent="0.25">
      <c r="B732" s="251"/>
      <c r="C732" s="251"/>
      <c r="D732" s="251"/>
      <c r="E732" s="251"/>
      <c r="F732" s="251"/>
      <c r="G732" s="252"/>
      <c r="H732" s="253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  <c r="AA732" s="251"/>
      <c r="AB732" s="251"/>
      <c r="AC732" s="251"/>
      <c r="AD732" s="251"/>
      <c r="AE732" s="251"/>
      <c r="AF732" s="251"/>
      <c r="AG732" s="251"/>
      <c r="AH732" s="251"/>
      <c r="AI732" s="251"/>
      <c r="AJ732" s="251"/>
      <c r="AK732" s="251"/>
      <c r="AL732" s="251"/>
      <c r="AM732" s="251"/>
      <c r="AN732" s="251"/>
      <c r="AO732" s="251"/>
    </row>
    <row r="733" spans="2:41" x14ac:dyDescent="0.25">
      <c r="B733" s="251"/>
      <c r="C733" s="251"/>
      <c r="D733" s="251"/>
      <c r="E733" s="251"/>
      <c r="F733" s="251"/>
      <c r="G733" s="252"/>
      <c r="H733" s="253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  <c r="AA733" s="251"/>
      <c r="AB733" s="251"/>
      <c r="AC733" s="251"/>
      <c r="AD733" s="251"/>
      <c r="AE733" s="251"/>
      <c r="AF733" s="251"/>
      <c r="AG733" s="251"/>
      <c r="AH733" s="251"/>
      <c r="AI733" s="251"/>
      <c r="AJ733" s="251"/>
      <c r="AK733" s="251"/>
      <c r="AL733" s="251"/>
      <c r="AM733" s="251"/>
      <c r="AN733" s="251"/>
      <c r="AO733" s="251"/>
    </row>
    <row r="734" spans="2:41" x14ac:dyDescent="0.25">
      <c r="B734" s="251"/>
      <c r="C734" s="251"/>
      <c r="D734" s="251"/>
      <c r="E734" s="251"/>
      <c r="F734" s="251"/>
      <c r="G734" s="252"/>
      <c r="H734" s="253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  <c r="AA734" s="251"/>
      <c r="AB734" s="251"/>
      <c r="AC734" s="251"/>
      <c r="AD734" s="251"/>
      <c r="AE734" s="251"/>
      <c r="AF734" s="251"/>
      <c r="AG734" s="251"/>
      <c r="AH734" s="251"/>
      <c r="AI734" s="251"/>
      <c r="AJ734" s="251"/>
      <c r="AK734" s="251"/>
      <c r="AL734" s="251"/>
      <c r="AM734" s="251"/>
      <c r="AN734" s="251"/>
      <c r="AO734" s="251"/>
    </row>
    <row r="735" spans="2:41" x14ac:dyDescent="0.25">
      <c r="B735" s="251"/>
      <c r="C735" s="251"/>
      <c r="D735" s="251"/>
      <c r="E735" s="251"/>
      <c r="F735" s="251"/>
      <c r="G735" s="252"/>
      <c r="H735" s="253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  <c r="AA735" s="251"/>
      <c r="AB735" s="251"/>
      <c r="AC735" s="251"/>
      <c r="AD735" s="251"/>
      <c r="AE735" s="251"/>
      <c r="AF735" s="251"/>
      <c r="AG735" s="251"/>
      <c r="AH735" s="251"/>
      <c r="AI735" s="251"/>
      <c r="AJ735" s="251"/>
      <c r="AK735" s="251"/>
      <c r="AL735" s="251"/>
      <c r="AM735" s="251"/>
      <c r="AN735" s="251"/>
      <c r="AO735" s="251"/>
    </row>
    <row r="736" spans="2:41" x14ac:dyDescent="0.25">
      <c r="B736" s="251"/>
      <c r="C736" s="251"/>
      <c r="D736" s="251"/>
      <c r="E736" s="251"/>
      <c r="F736" s="251"/>
      <c r="G736" s="252"/>
      <c r="H736" s="253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  <c r="AA736" s="251"/>
      <c r="AB736" s="251"/>
      <c r="AC736" s="251"/>
      <c r="AD736" s="251"/>
      <c r="AE736" s="251"/>
      <c r="AF736" s="251"/>
      <c r="AG736" s="251"/>
      <c r="AH736" s="251"/>
      <c r="AI736" s="251"/>
      <c r="AJ736" s="251"/>
      <c r="AK736" s="251"/>
      <c r="AL736" s="251"/>
      <c r="AM736" s="251"/>
      <c r="AN736" s="251"/>
      <c r="AO736" s="251"/>
    </row>
    <row r="737" spans="2:41" x14ac:dyDescent="0.25">
      <c r="B737" s="251"/>
      <c r="C737" s="251"/>
      <c r="D737" s="251"/>
      <c r="E737" s="251"/>
      <c r="F737" s="251"/>
      <c r="G737" s="252"/>
      <c r="H737" s="253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  <c r="AA737" s="251"/>
      <c r="AB737" s="251"/>
      <c r="AC737" s="251"/>
      <c r="AD737" s="251"/>
      <c r="AE737" s="251"/>
      <c r="AF737" s="251"/>
      <c r="AG737" s="251"/>
      <c r="AH737" s="251"/>
      <c r="AI737" s="251"/>
      <c r="AJ737" s="251"/>
      <c r="AK737" s="251"/>
      <c r="AL737" s="251"/>
      <c r="AM737" s="251"/>
      <c r="AN737" s="251"/>
      <c r="AO737" s="251"/>
    </row>
    <row r="738" spans="2:41" x14ac:dyDescent="0.25">
      <c r="B738" s="251"/>
      <c r="C738" s="251"/>
      <c r="D738" s="251"/>
      <c r="E738" s="251"/>
      <c r="F738" s="251"/>
      <c r="G738" s="252"/>
      <c r="H738" s="253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  <c r="AA738" s="251"/>
      <c r="AB738" s="251"/>
      <c r="AC738" s="251"/>
      <c r="AD738" s="251"/>
      <c r="AE738" s="251"/>
      <c r="AF738" s="251"/>
      <c r="AG738" s="251"/>
      <c r="AH738" s="251"/>
      <c r="AI738" s="251"/>
      <c r="AJ738" s="251"/>
      <c r="AK738" s="251"/>
      <c r="AL738" s="251"/>
      <c r="AM738" s="251"/>
      <c r="AN738" s="251"/>
      <c r="AO738" s="251"/>
    </row>
    <row r="739" spans="2:41" x14ac:dyDescent="0.25">
      <c r="B739" s="251"/>
      <c r="C739" s="251"/>
      <c r="D739" s="251"/>
      <c r="E739" s="251"/>
      <c r="F739" s="251"/>
      <c r="G739" s="252"/>
      <c r="H739" s="253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  <c r="AA739" s="251"/>
      <c r="AB739" s="251"/>
      <c r="AC739" s="251"/>
      <c r="AD739" s="251"/>
      <c r="AE739" s="251"/>
      <c r="AF739" s="251"/>
      <c r="AG739" s="251"/>
      <c r="AH739" s="251"/>
      <c r="AI739" s="251"/>
      <c r="AJ739" s="251"/>
      <c r="AK739" s="251"/>
      <c r="AL739" s="251"/>
      <c r="AM739" s="251"/>
      <c r="AN739" s="251"/>
      <c r="AO739" s="251"/>
    </row>
    <row r="740" spans="2:41" x14ac:dyDescent="0.25">
      <c r="B740" s="251"/>
      <c r="C740" s="251"/>
      <c r="D740" s="251"/>
      <c r="E740" s="251"/>
      <c r="F740" s="251"/>
      <c r="G740" s="252"/>
      <c r="H740" s="253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  <c r="AA740" s="251"/>
      <c r="AB740" s="251"/>
      <c r="AC740" s="251"/>
      <c r="AD740" s="251"/>
      <c r="AE740" s="251"/>
      <c r="AF740" s="251"/>
      <c r="AG740" s="251"/>
      <c r="AH740" s="251"/>
      <c r="AI740" s="251"/>
      <c r="AJ740" s="251"/>
      <c r="AK740" s="251"/>
      <c r="AL740" s="251"/>
      <c r="AM740" s="251"/>
      <c r="AN740" s="251"/>
      <c r="AO740" s="251"/>
    </row>
    <row r="741" spans="2:41" x14ac:dyDescent="0.25">
      <c r="B741" s="251"/>
      <c r="C741" s="251"/>
      <c r="D741" s="251"/>
      <c r="E741" s="251"/>
      <c r="F741" s="251"/>
      <c r="G741" s="252"/>
      <c r="H741" s="253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  <c r="AA741" s="251"/>
      <c r="AB741" s="251"/>
      <c r="AC741" s="251"/>
      <c r="AD741" s="251"/>
      <c r="AE741" s="251"/>
      <c r="AF741" s="251"/>
      <c r="AG741" s="251"/>
      <c r="AH741" s="251"/>
      <c r="AI741" s="251"/>
      <c r="AJ741" s="251"/>
      <c r="AK741" s="251"/>
      <c r="AL741" s="251"/>
      <c r="AM741" s="251"/>
      <c r="AN741" s="251"/>
      <c r="AO741" s="251"/>
    </row>
    <row r="742" spans="2:41" x14ac:dyDescent="0.25">
      <c r="B742" s="251"/>
      <c r="C742" s="251"/>
      <c r="D742" s="251"/>
      <c r="E742" s="251"/>
      <c r="F742" s="251"/>
      <c r="G742" s="252"/>
      <c r="H742" s="253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  <c r="AA742" s="251"/>
      <c r="AB742" s="251"/>
      <c r="AC742" s="251"/>
      <c r="AD742" s="251"/>
      <c r="AE742" s="251"/>
      <c r="AF742" s="251"/>
      <c r="AG742" s="251"/>
      <c r="AH742" s="251"/>
      <c r="AI742" s="251"/>
      <c r="AJ742" s="251"/>
      <c r="AK742" s="251"/>
      <c r="AL742" s="251"/>
      <c r="AM742" s="251"/>
      <c r="AN742" s="251"/>
      <c r="AO742" s="251"/>
    </row>
    <row r="743" spans="2:41" x14ac:dyDescent="0.25">
      <c r="B743" s="251"/>
      <c r="C743" s="251"/>
      <c r="D743" s="251"/>
      <c r="E743" s="251"/>
      <c r="F743" s="251"/>
      <c r="G743" s="252"/>
      <c r="H743" s="253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  <c r="AA743" s="251"/>
      <c r="AB743" s="251"/>
      <c r="AC743" s="251"/>
      <c r="AD743" s="251"/>
      <c r="AE743" s="251"/>
      <c r="AF743" s="251"/>
      <c r="AG743" s="251"/>
      <c r="AH743" s="251"/>
      <c r="AI743" s="251"/>
      <c r="AJ743" s="251"/>
      <c r="AK743" s="251"/>
      <c r="AL743" s="251"/>
      <c r="AM743" s="251"/>
      <c r="AN743" s="251"/>
      <c r="AO743" s="251"/>
    </row>
    <row r="744" spans="2:41" x14ac:dyDescent="0.25">
      <c r="B744" s="251"/>
      <c r="C744" s="251"/>
      <c r="D744" s="251"/>
      <c r="E744" s="251"/>
      <c r="F744" s="251"/>
      <c r="G744" s="252"/>
      <c r="H744" s="253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  <c r="AA744" s="251"/>
      <c r="AB744" s="251"/>
      <c r="AC744" s="251"/>
      <c r="AD744" s="251"/>
      <c r="AE744" s="251"/>
      <c r="AF744" s="251"/>
      <c r="AG744" s="251"/>
      <c r="AH744" s="251"/>
      <c r="AI744" s="251"/>
      <c r="AJ744" s="251"/>
      <c r="AK744" s="251"/>
      <c r="AL744" s="251"/>
      <c r="AM744" s="251"/>
      <c r="AN744" s="251"/>
      <c r="AO744" s="251"/>
    </row>
    <row r="745" spans="2:41" x14ac:dyDescent="0.25">
      <c r="B745" s="251"/>
      <c r="C745" s="251"/>
      <c r="D745" s="251"/>
      <c r="E745" s="251"/>
      <c r="F745" s="251"/>
      <c r="G745" s="252"/>
      <c r="H745" s="253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  <c r="AA745" s="251"/>
      <c r="AB745" s="251"/>
      <c r="AC745" s="251"/>
      <c r="AD745" s="251"/>
      <c r="AE745" s="251"/>
      <c r="AF745" s="251"/>
      <c r="AG745" s="251"/>
      <c r="AH745" s="251"/>
      <c r="AI745" s="251"/>
      <c r="AJ745" s="251"/>
      <c r="AK745" s="251"/>
      <c r="AL745" s="251"/>
      <c r="AM745" s="251"/>
      <c r="AN745" s="251"/>
      <c r="AO745" s="251"/>
    </row>
    <row r="746" spans="2:41" x14ac:dyDescent="0.25">
      <c r="B746" s="251"/>
      <c r="C746" s="251"/>
      <c r="D746" s="251"/>
      <c r="E746" s="251"/>
      <c r="F746" s="251"/>
      <c r="G746" s="252"/>
      <c r="H746" s="253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  <c r="AA746" s="251"/>
      <c r="AB746" s="251"/>
      <c r="AC746" s="251"/>
      <c r="AD746" s="251"/>
      <c r="AE746" s="251"/>
      <c r="AF746" s="251"/>
      <c r="AG746" s="251"/>
      <c r="AH746" s="251"/>
      <c r="AI746" s="251"/>
      <c r="AJ746" s="251"/>
      <c r="AK746" s="251"/>
      <c r="AL746" s="251"/>
      <c r="AM746" s="251"/>
      <c r="AN746" s="251"/>
      <c r="AO746" s="251"/>
    </row>
    <row r="747" spans="2:41" x14ac:dyDescent="0.25">
      <c r="B747" s="251"/>
      <c r="C747" s="251"/>
      <c r="D747" s="251"/>
      <c r="E747" s="251"/>
      <c r="F747" s="251"/>
      <c r="G747" s="252"/>
      <c r="H747" s="253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  <c r="AA747" s="251"/>
      <c r="AB747" s="251"/>
      <c r="AC747" s="251"/>
      <c r="AD747" s="251"/>
      <c r="AE747" s="251"/>
      <c r="AF747" s="251"/>
      <c r="AG747" s="251"/>
      <c r="AH747" s="251"/>
      <c r="AI747" s="251"/>
      <c r="AJ747" s="251"/>
      <c r="AK747" s="251"/>
      <c r="AL747" s="251"/>
      <c r="AM747" s="251"/>
      <c r="AN747" s="251"/>
      <c r="AO747" s="251"/>
    </row>
    <row r="748" spans="2:41" x14ac:dyDescent="0.25">
      <c r="B748" s="251"/>
      <c r="C748" s="251"/>
      <c r="D748" s="251"/>
      <c r="E748" s="251"/>
      <c r="F748" s="251"/>
      <c r="G748" s="252"/>
      <c r="H748" s="253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  <c r="AA748" s="251"/>
      <c r="AB748" s="251"/>
      <c r="AC748" s="251"/>
      <c r="AD748" s="251"/>
      <c r="AE748" s="251"/>
      <c r="AF748" s="251"/>
      <c r="AG748" s="251"/>
      <c r="AH748" s="251"/>
      <c r="AI748" s="251"/>
      <c r="AJ748" s="251"/>
      <c r="AK748" s="251"/>
      <c r="AL748" s="251"/>
      <c r="AM748" s="251"/>
      <c r="AN748" s="251"/>
      <c r="AO748" s="251"/>
    </row>
    <row r="749" spans="2:41" x14ac:dyDescent="0.25">
      <c r="B749" s="251"/>
      <c r="C749" s="251"/>
      <c r="D749" s="251"/>
      <c r="E749" s="251"/>
      <c r="F749" s="251"/>
      <c r="G749" s="252"/>
      <c r="H749" s="253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  <c r="AA749" s="251"/>
      <c r="AB749" s="251"/>
      <c r="AC749" s="251"/>
      <c r="AD749" s="251"/>
      <c r="AE749" s="251"/>
      <c r="AF749" s="251"/>
      <c r="AG749" s="251"/>
      <c r="AH749" s="251"/>
      <c r="AI749" s="251"/>
      <c r="AJ749" s="251"/>
      <c r="AK749" s="251"/>
      <c r="AL749" s="251"/>
      <c r="AM749" s="251"/>
      <c r="AN749" s="251"/>
      <c r="AO749" s="251"/>
    </row>
    <row r="750" spans="2:41" x14ac:dyDescent="0.25">
      <c r="B750" s="251"/>
      <c r="C750" s="251"/>
      <c r="D750" s="251"/>
      <c r="E750" s="251"/>
      <c r="F750" s="251"/>
      <c r="G750" s="252"/>
      <c r="H750" s="253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  <c r="AA750" s="251"/>
      <c r="AB750" s="251"/>
      <c r="AC750" s="251"/>
      <c r="AD750" s="251"/>
      <c r="AE750" s="251"/>
      <c r="AF750" s="251"/>
      <c r="AG750" s="251"/>
      <c r="AH750" s="251"/>
      <c r="AI750" s="251"/>
      <c r="AJ750" s="251"/>
      <c r="AK750" s="251"/>
      <c r="AL750" s="251"/>
      <c r="AM750" s="251"/>
      <c r="AN750" s="251"/>
      <c r="AO750" s="251"/>
    </row>
    <row r="751" spans="2:41" x14ac:dyDescent="0.25">
      <c r="B751" s="251"/>
      <c r="C751" s="251"/>
      <c r="D751" s="251"/>
      <c r="E751" s="251"/>
      <c r="F751" s="251"/>
      <c r="G751" s="252"/>
      <c r="H751" s="253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  <c r="AA751" s="251"/>
      <c r="AB751" s="251"/>
      <c r="AC751" s="251"/>
      <c r="AD751" s="251"/>
      <c r="AE751" s="251"/>
      <c r="AF751" s="251"/>
      <c r="AG751" s="251"/>
      <c r="AH751" s="251"/>
      <c r="AI751" s="251"/>
      <c r="AJ751" s="251"/>
      <c r="AK751" s="251"/>
      <c r="AL751" s="251"/>
      <c r="AM751" s="251"/>
      <c r="AN751" s="251"/>
      <c r="AO751" s="251"/>
    </row>
    <row r="752" spans="2:41" x14ac:dyDescent="0.25">
      <c r="B752" s="251"/>
      <c r="C752" s="251"/>
      <c r="D752" s="251"/>
      <c r="E752" s="251"/>
      <c r="F752" s="251"/>
      <c r="G752" s="252"/>
      <c r="H752" s="253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  <c r="AA752" s="251"/>
      <c r="AB752" s="251"/>
      <c r="AC752" s="251"/>
      <c r="AD752" s="251"/>
      <c r="AE752" s="251"/>
      <c r="AF752" s="251"/>
      <c r="AG752" s="251"/>
      <c r="AH752" s="251"/>
      <c r="AI752" s="251"/>
      <c r="AJ752" s="251"/>
      <c r="AK752" s="251"/>
      <c r="AL752" s="251"/>
      <c r="AM752" s="251"/>
      <c r="AN752" s="251"/>
      <c r="AO752" s="251"/>
    </row>
    <row r="753" spans="2:41" x14ac:dyDescent="0.25">
      <c r="B753" s="251"/>
      <c r="C753" s="251"/>
      <c r="D753" s="251"/>
      <c r="E753" s="251"/>
      <c r="F753" s="251"/>
      <c r="G753" s="252"/>
      <c r="H753" s="253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  <c r="AA753" s="251"/>
      <c r="AB753" s="251"/>
      <c r="AC753" s="251"/>
      <c r="AD753" s="251"/>
      <c r="AE753" s="251"/>
      <c r="AF753" s="251"/>
      <c r="AG753" s="251"/>
      <c r="AH753" s="251"/>
      <c r="AI753" s="251"/>
      <c r="AJ753" s="251"/>
      <c r="AK753" s="251"/>
      <c r="AL753" s="251"/>
      <c r="AM753" s="251"/>
      <c r="AN753" s="251"/>
      <c r="AO753" s="251"/>
    </row>
    <row r="754" spans="2:41" x14ac:dyDescent="0.25">
      <c r="B754" s="251"/>
      <c r="C754" s="251"/>
      <c r="D754" s="251"/>
      <c r="E754" s="251"/>
      <c r="F754" s="251"/>
      <c r="G754" s="252"/>
      <c r="H754" s="253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  <c r="AA754" s="251"/>
      <c r="AB754" s="251"/>
      <c r="AC754" s="251"/>
      <c r="AD754" s="251"/>
      <c r="AE754" s="251"/>
      <c r="AF754" s="251"/>
      <c r="AG754" s="251"/>
      <c r="AH754" s="251"/>
      <c r="AI754" s="251"/>
      <c r="AJ754" s="251"/>
      <c r="AK754" s="251"/>
      <c r="AL754" s="251"/>
      <c r="AM754" s="251"/>
      <c r="AN754" s="251"/>
      <c r="AO754" s="251"/>
    </row>
    <row r="755" spans="2:41" x14ac:dyDescent="0.25">
      <c r="B755" s="251"/>
      <c r="C755" s="251"/>
      <c r="D755" s="251"/>
      <c r="E755" s="251"/>
      <c r="F755" s="251"/>
      <c r="G755" s="252"/>
      <c r="H755" s="253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  <c r="AA755" s="251"/>
      <c r="AB755" s="251"/>
      <c r="AC755" s="251"/>
      <c r="AD755" s="251"/>
      <c r="AE755" s="251"/>
      <c r="AF755" s="251"/>
      <c r="AG755" s="251"/>
      <c r="AH755" s="251"/>
      <c r="AI755" s="251"/>
      <c r="AJ755" s="251"/>
      <c r="AK755" s="251"/>
      <c r="AL755" s="251"/>
      <c r="AM755" s="251"/>
      <c r="AN755" s="251"/>
      <c r="AO755" s="251"/>
    </row>
    <row r="756" spans="2:41" x14ac:dyDescent="0.25">
      <c r="B756" s="251"/>
      <c r="C756" s="251"/>
      <c r="D756" s="251"/>
      <c r="E756" s="251"/>
      <c r="F756" s="251"/>
      <c r="G756" s="252"/>
      <c r="H756" s="253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  <c r="AA756" s="251"/>
      <c r="AB756" s="251"/>
      <c r="AC756" s="251"/>
      <c r="AD756" s="251"/>
      <c r="AE756" s="251"/>
      <c r="AF756" s="251"/>
      <c r="AG756" s="251"/>
      <c r="AH756" s="251"/>
      <c r="AI756" s="251"/>
      <c r="AJ756" s="251"/>
      <c r="AK756" s="251"/>
      <c r="AL756" s="251"/>
      <c r="AM756" s="251"/>
      <c r="AN756" s="251"/>
      <c r="AO756" s="251"/>
    </row>
    <row r="757" spans="2:41" x14ac:dyDescent="0.25">
      <c r="B757" s="251"/>
      <c r="C757" s="251"/>
      <c r="D757" s="251"/>
      <c r="E757" s="251"/>
      <c r="F757" s="251"/>
      <c r="G757" s="252"/>
      <c r="H757" s="253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  <c r="AA757" s="251"/>
      <c r="AB757" s="251"/>
      <c r="AC757" s="251"/>
      <c r="AD757" s="251"/>
      <c r="AE757" s="251"/>
      <c r="AF757" s="251"/>
      <c r="AG757" s="251"/>
      <c r="AH757" s="251"/>
      <c r="AI757" s="251"/>
      <c r="AJ757" s="251"/>
      <c r="AK757" s="251"/>
      <c r="AL757" s="251"/>
      <c r="AM757" s="251"/>
      <c r="AN757" s="251"/>
      <c r="AO757" s="251"/>
    </row>
    <row r="758" spans="2:41" x14ac:dyDescent="0.25">
      <c r="B758" s="251"/>
      <c r="C758" s="251"/>
      <c r="D758" s="251"/>
      <c r="E758" s="251"/>
      <c r="F758" s="251"/>
      <c r="G758" s="252"/>
      <c r="H758" s="253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  <c r="AA758" s="251"/>
      <c r="AB758" s="251"/>
      <c r="AC758" s="251"/>
      <c r="AD758" s="251"/>
      <c r="AE758" s="251"/>
      <c r="AF758" s="251"/>
      <c r="AG758" s="251"/>
      <c r="AH758" s="251"/>
      <c r="AI758" s="251"/>
      <c r="AJ758" s="251"/>
      <c r="AK758" s="251"/>
      <c r="AL758" s="251"/>
      <c r="AM758" s="251"/>
      <c r="AN758" s="251"/>
      <c r="AO758" s="251"/>
    </row>
    <row r="759" spans="2:41" x14ac:dyDescent="0.25">
      <c r="B759" s="251"/>
      <c r="C759" s="251"/>
      <c r="D759" s="251"/>
      <c r="E759" s="251"/>
      <c r="F759" s="251"/>
      <c r="G759" s="252"/>
      <c r="H759" s="253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  <c r="AA759" s="251"/>
      <c r="AB759" s="251"/>
      <c r="AC759" s="251"/>
      <c r="AD759" s="251"/>
      <c r="AE759" s="251"/>
      <c r="AF759" s="251"/>
      <c r="AG759" s="251"/>
      <c r="AH759" s="251"/>
      <c r="AI759" s="251"/>
      <c r="AJ759" s="251"/>
      <c r="AK759" s="251"/>
      <c r="AL759" s="251"/>
      <c r="AM759" s="251"/>
      <c r="AN759" s="251"/>
      <c r="AO759" s="251"/>
    </row>
    <row r="760" spans="2:41" x14ac:dyDescent="0.25">
      <c r="B760" s="251"/>
      <c r="C760" s="251"/>
      <c r="D760" s="251"/>
      <c r="E760" s="251"/>
      <c r="F760" s="251"/>
      <c r="G760" s="252"/>
      <c r="H760" s="253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  <c r="AA760" s="251"/>
      <c r="AB760" s="251"/>
      <c r="AC760" s="251"/>
      <c r="AD760" s="251"/>
      <c r="AE760" s="251"/>
      <c r="AF760" s="251"/>
      <c r="AG760" s="251"/>
      <c r="AH760" s="251"/>
      <c r="AI760" s="251"/>
      <c r="AJ760" s="251"/>
      <c r="AK760" s="251"/>
      <c r="AL760" s="251"/>
      <c r="AM760" s="251"/>
      <c r="AN760" s="251"/>
      <c r="AO760" s="251"/>
    </row>
    <row r="761" spans="2:41" x14ac:dyDescent="0.25">
      <c r="B761" s="251"/>
      <c r="C761" s="251"/>
      <c r="D761" s="251"/>
      <c r="E761" s="251"/>
      <c r="F761" s="251"/>
      <c r="G761" s="252"/>
      <c r="H761" s="253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  <c r="AA761" s="251"/>
      <c r="AB761" s="251"/>
      <c r="AC761" s="251"/>
      <c r="AD761" s="251"/>
      <c r="AE761" s="251"/>
      <c r="AF761" s="251"/>
      <c r="AG761" s="251"/>
      <c r="AH761" s="251"/>
      <c r="AI761" s="251"/>
      <c r="AJ761" s="251"/>
      <c r="AK761" s="251"/>
      <c r="AL761" s="251"/>
      <c r="AM761" s="251"/>
      <c r="AN761" s="251"/>
      <c r="AO761" s="251"/>
    </row>
    <row r="762" spans="2:41" x14ac:dyDescent="0.25">
      <c r="B762" s="251"/>
      <c r="C762" s="251"/>
      <c r="D762" s="251"/>
      <c r="E762" s="251"/>
      <c r="F762" s="251"/>
      <c r="G762" s="252"/>
      <c r="H762" s="253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  <c r="AA762" s="251"/>
      <c r="AB762" s="251"/>
      <c r="AC762" s="251"/>
      <c r="AD762" s="251"/>
      <c r="AE762" s="251"/>
      <c r="AF762" s="251"/>
      <c r="AG762" s="251"/>
      <c r="AH762" s="251"/>
      <c r="AI762" s="251"/>
      <c r="AJ762" s="251"/>
      <c r="AK762" s="251"/>
      <c r="AL762" s="251"/>
      <c r="AM762" s="251"/>
      <c r="AN762" s="251"/>
      <c r="AO762" s="251"/>
    </row>
    <row r="763" spans="2:41" x14ac:dyDescent="0.25">
      <c r="B763" s="251"/>
      <c r="C763" s="251"/>
      <c r="D763" s="251"/>
      <c r="E763" s="251"/>
      <c r="F763" s="251"/>
      <c r="G763" s="252"/>
      <c r="H763" s="253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  <c r="AA763" s="251"/>
      <c r="AB763" s="251"/>
      <c r="AC763" s="251"/>
      <c r="AD763" s="251"/>
      <c r="AE763" s="251"/>
      <c r="AF763" s="251"/>
      <c r="AG763" s="251"/>
      <c r="AH763" s="251"/>
      <c r="AI763" s="251"/>
      <c r="AJ763" s="251"/>
      <c r="AK763" s="251"/>
      <c r="AL763" s="251"/>
      <c r="AM763" s="251"/>
      <c r="AN763" s="251"/>
      <c r="AO763" s="251"/>
    </row>
    <row r="764" spans="2:41" x14ac:dyDescent="0.25">
      <c r="B764" s="251"/>
      <c r="C764" s="251"/>
      <c r="D764" s="251"/>
      <c r="E764" s="251"/>
      <c r="F764" s="251"/>
      <c r="G764" s="252"/>
      <c r="H764" s="253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  <c r="AA764" s="251"/>
      <c r="AB764" s="251"/>
      <c r="AC764" s="251"/>
      <c r="AD764" s="251"/>
      <c r="AE764" s="251"/>
      <c r="AF764" s="251"/>
      <c r="AG764" s="251"/>
      <c r="AH764" s="251"/>
      <c r="AI764" s="251"/>
      <c r="AJ764" s="251"/>
      <c r="AK764" s="251"/>
      <c r="AL764" s="251"/>
      <c r="AM764" s="251"/>
      <c r="AN764" s="251"/>
      <c r="AO764" s="251"/>
    </row>
    <row r="765" spans="2:41" x14ac:dyDescent="0.25">
      <c r="B765" s="251"/>
      <c r="C765" s="251"/>
      <c r="D765" s="251"/>
      <c r="E765" s="251"/>
      <c r="F765" s="251"/>
      <c r="G765" s="252"/>
      <c r="H765" s="253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  <c r="AA765" s="251"/>
      <c r="AB765" s="251"/>
      <c r="AC765" s="251"/>
      <c r="AD765" s="251"/>
      <c r="AE765" s="251"/>
      <c r="AF765" s="251"/>
      <c r="AG765" s="251"/>
      <c r="AH765" s="251"/>
      <c r="AI765" s="251"/>
      <c r="AJ765" s="251"/>
      <c r="AK765" s="251"/>
      <c r="AL765" s="251"/>
      <c r="AM765" s="251"/>
      <c r="AN765" s="251"/>
      <c r="AO765" s="251"/>
    </row>
    <row r="766" spans="2:41" x14ac:dyDescent="0.25">
      <c r="B766" s="251"/>
      <c r="C766" s="251"/>
      <c r="D766" s="251"/>
      <c r="E766" s="251"/>
      <c r="F766" s="251"/>
      <c r="G766" s="252"/>
      <c r="H766" s="253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  <c r="AA766" s="251"/>
      <c r="AB766" s="251"/>
      <c r="AC766" s="251"/>
      <c r="AD766" s="251"/>
      <c r="AE766" s="251"/>
      <c r="AF766" s="251"/>
      <c r="AG766" s="251"/>
      <c r="AH766" s="251"/>
      <c r="AI766" s="251"/>
      <c r="AJ766" s="251"/>
      <c r="AK766" s="251"/>
      <c r="AL766" s="251"/>
      <c r="AM766" s="251"/>
      <c r="AN766" s="251"/>
      <c r="AO766" s="251"/>
    </row>
    <row r="767" spans="2:41" x14ac:dyDescent="0.25">
      <c r="B767" s="251"/>
      <c r="C767" s="251"/>
      <c r="D767" s="251"/>
      <c r="E767" s="251"/>
      <c r="F767" s="251"/>
      <c r="G767" s="252"/>
      <c r="H767" s="253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  <c r="AA767" s="251"/>
      <c r="AB767" s="251"/>
      <c r="AC767" s="251"/>
      <c r="AD767" s="251"/>
      <c r="AE767" s="251"/>
      <c r="AF767" s="251"/>
      <c r="AG767" s="251"/>
      <c r="AH767" s="251"/>
      <c r="AI767" s="251"/>
      <c r="AJ767" s="251"/>
      <c r="AK767" s="251"/>
      <c r="AL767" s="251"/>
      <c r="AM767" s="251"/>
      <c r="AN767" s="251"/>
      <c r="AO767" s="251"/>
    </row>
    <row r="768" spans="2:41" x14ac:dyDescent="0.25">
      <c r="B768" s="251"/>
      <c r="C768" s="251"/>
      <c r="D768" s="251"/>
      <c r="E768" s="251"/>
      <c r="F768" s="251"/>
      <c r="G768" s="252"/>
      <c r="H768" s="253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  <c r="AA768" s="251"/>
      <c r="AB768" s="251"/>
      <c r="AC768" s="251"/>
      <c r="AD768" s="251"/>
      <c r="AE768" s="251"/>
      <c r="AF768" s="251"/>
      <c r="AG768" s="251"/>
      <c r="AH768" s="251"/>
      <c r="AI768" s="251"/>
      <c r="AJ768" s="251"/>
      <c r="AK768" s="251"/>
      <c r="AL768" s="251"/>
      <c r="AM768" s="251"/>
      <c r="AN768" s="251"/>
      <c r="AO768" s="251"/>
    </row>
    <row r="769" spans="2:41" x14ac:dyDescent="0.25">
      <c r="B769" s="251"/>
      <c r="C769" s="251"/>
      <c r="D769" s="251"/>
      <c r="E769" s="251"/>
      <c r="F769" s="251"/>
      <c r="G769" s="252"/>
      <c r="H769" s="253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  <c r="AA769" s="251"/>
      <c r="AB769" s="251"/>
      <c r="AC769" s="251"/>
      <c r="AD769" s="251"/>
      <c r="AE769" s="251"/>
      <c r="AF769" s="251"/>
      <c r="AG769" s="251"/>
      <c r="AH769" s="251"/>
      <c r="AI769" s="251"/>
      <c r="AJ769" s="251"/>
      <c r="AK769" s="251"/>
      <c r="AL769" s="251"/>
      <c r="AM769" s="251"/>
      <c r="AN769" s="251"/>
      <c r="AO769" s="251"/>
    </row>
    <row r="770" spans="2:41" x14ac:dyDescent="0.25">
      <c r="B770" s="251"/>
      <c r="C770" s="251"/>
      <c r="D770" s="251"/>
      <c r="E770" s="251"/>
      <c r="F770" s="251"/>
      <c r="G770" s="252"/>
      <c r="H770" s="253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  <c r="AA770" s="251"/>
      <c r="AB770" s="251"/>
      <c r="AC770" s="251"/>
      <c r="AD770" s="251"/>
      <c r="AE770" s="251"/>
      <c r="AF770" s="251"/>
      <c r="AG770" s="251"/>
      <c r="AH770" s="251"/>
      <c r="AI770" s="251"/>
      <c r="AJ770" s="251"/>
      <c r="AK770" s="251"/>
      <c r="AL770" s="251"/>
      <c r="AM770" s="251"/>
      <c r="AN770" s="251"/>
      <c r="AO770" s="251"/>
    </row>
    <row r="771" spans="2:41" x14ac:dyDescent="0.25">
      <c r="B771" s="251"/>
      <c r="C771" s="251"/>
      <c r="D771" s="251"/>
      <c r="E771" s="251"/>
      <c r="F771" s="251"/>
      <c r="G771" s="252"/>
      <c r="H771" s="253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  <c r="AA771" s="251"/>
      <c r="AB771" s="251"/>
      <c r="AC771" s="251"/>
      <c r="AD771" s="251"/>
      <c r="AE771" s="251"/>
      <c r="AF771" s="251"/>
      <c r="AG771" s="251"/>
      <c r="AH771" s="251"/>
      <c r="AI771" s="251"/>
      <c r="AJ771" s="251"/>
      <c r="AK771" s="251"/>
      <c r="AL771" s="251"/>
      <c r="AM771" s="251"/>
      <c r="AN771" s="251"/>
      <c r="AO771" s="251"/>
    </row>
    <row r="772" spans="2:41" x14ac:dyDescent="0.25">
      <c r="B772" s="251"/>
      <c r="C772" s="251"/>
      <c r="D772" s="251"/>
      <c r="E772" s="251"/>
      <c r="F772" s="251"/>
      <c r="G772" s="252"/>
      <c r="H772" s="253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  <c r="AA772" s="251"/>
      <c r="AB772" s="251"/>
      <c r="AC772" s="251"/>
      <c r="AD772" s="251"/>
      <c r="AE772" s="251"/>
      <c r="AF772" s="251"/>
      <c r="AG772" s="251"/>
      <c r="AH772" s="251"/>
      <c r="AI772" s="251"/>
      <c r="AJ772" s="251"/>
      <c r="AK772" s="251"/>
      <c r="AL772" s="251"/>
      <c r="AM772" s="251"/>
      <c r="AN772" s="251"/>
      <c r="AO772" s="251"/>
    </row>
    <row r="773" spans="2:41" x14ac:dyDescent="0.25">
      <c r="B773" s="251"/>
      <c r="C773" s="251"/>
      <c r="D773" s="251"/>
      <c r="E773" s="251"/>
      <c r="F773" s="251"/>
      <c r="G773" s="252"/>
      <c r="H773" s="253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  <c r="AA773" s="251"/>
      <c r="AB773" s="251"/>
      <c r="AC773" s="251"/>
      <c r="AD773" s="251"/>
      <c r="AE773" s="251"/>
      <c r="AF773" s="251"/>
      <c r="AG773" s="251"/>
      <c r="AH773" s="251"/>
      <c r="AI773" s="251"/>
      <c r="AJ773" s="251"/>
      <c r="AK773" s="251"/>
      <c r="AL773" s="251"/>
      <c r="AM773" s="251"/>
      <c r="AN773" s="251"/>
      <c r="AO773" s="251"/>
    </row>
    <row r="774" spans="2:41" x14ac:dyDescent="0.25">
      <c r="B774" s="251"/>
      <c r="C774" s="251"/>
      <c r="D774" s="251"/>
      <c r="E774" s="251"/>
      <c r="F774" s="251"/>
      <c r="G774" s="252"/>
      <c r="H774" s="253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  <c r="AA774" s="251"/>
      <c r="AB774" s="251"/>
      <c r="AC774" s="251"/>
      <c r="AD774" s="251"/>
      <c r="AE774" s="251"/>
      <c r="AF774" s="251"/>
      <c r="AG774" s="251"/>
      <c r="AH774" s="251"/>
      <c r="AI774" s="251"/>
      <c r="AJ774" s="251"/>
      <c r="AK774" s="251"/>
      <c r="AL774" s="251"/>
      <c r="AM774" s="251"/>
      <c r="AN774" s="251"/>
      <c r="AO774" s="251"/>
    </row>
    <row r="775" spans="2:41" x14ac:dyDescent="0.25">
      <c r="B775" s="251"/>
      <c r="C775" s="251"/>
      <c r="D775" s="251"/>
      <c r="E775" s="251"/>
      <c r="F775" s="251"/>
      <c r="G775" s="252"/>
      <c r="H775" s="253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  <c r="AA775" s="251"/>
      <c r="AB775" s="251"/>
      <c r="AC775" s="251"/>
      <c r="AD775" s="251"/>
      <c r="AE775" s="251"/>
      <c r="AF775" s="251"/>
      <c r="AG775" s="251"/>
      <c r="AH775" s="251"/>
      <c r="AI775" s="251"/>
      <c r="AJ775" s="251"/>
      <c r="AK775" s="251"/>
      <c r="AL775" s="251"/>
      <c r="AM775" s="251"/>
      <c r="AN775" s="251"/>
      <c r="AO775" s="251"/>
    </row>
    <row r="776" spans="2:41" x14ac:dyDescent="0.25">
      <c r="B776" s="251"/>
      <c r="C776" s="251"/>
      <c r="D776" s="251"/>
      <c r="E776" s="251"/>
      <c r="F776" s="251"/>
      <c r="G776" s="252"/>
      <c r="H776" s="253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  <c r="AA776" s="251"/>
      <c r="AB776" s="251"/>
      <c r="AC776" s="251"/>
      <c r="AD776" s="251"/>
      <c r="AE776" s="251"/>
      <c r="AF776" s="251"/>
      <c r="AG776" s="251"/>
      <c r="AH776" s="251"/>
      <c r="AI776" s="251"/>
      <c r="AJ776" s="251"/>
      <c r="AK776" s="251"/>
      <c r="AL776" s="251"/>
      <c r="AM776" s="251"/>
      <c r="AN776" s="251"/>
      <c r="AO776" s="251"/>
    </row>
    <row r="777" spans="2:41" x14ac:dyDescent="0.25">
      <c r="B777" s="251"/>
      <c r="C777" s="251"/>
      <c r="D777" s="251"/>
      <c r="E777" s="251"/>
      <c r="F777" s="251"/>
      <c r="G777" s="252"/>
      <c r="H777" s="253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  <c r="AA777" s="251"/>
      <c r="AB777" s="251"/>
      <c r="AC777" s="251"/>
      <c r="AD777" s="251"/>
      <c r="AE777" s="251"/>
      <c r="AF777" s="251"/>
      <c r="AG777" s="251"/>
      <c r="AH777" s="251"/>
      <c r="AI777" s="251"/>
      <c r="AJ777" s="251"/>
      <c r="AK777" s="251"/>
      <c r="AL777" s="251"/>
      <c r="AM777" s="251"/>
      <c r="AN777" s="251"/>
      <c r="AO777" s="251"/>
    </row>
    <row r="778" spans="2:41" x14ac:dyDescent="0.25">
      <c r="B778" s="251"/>
      <c r="C778" s="251"/>
      <c r="D778" s="251"/>
      <c r="E778" s="251"/>
      <c r="F778" s="251"/>
      <c r="G778" s="252"/>
      <c r="H778" s="253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  <c r="AA778" s="251"/>
      <c r="AB778" s="251"/>
      <c r="AC778" s="251"/>
      <c r="AD778" s="251"/>
      <c r="AE778" s="251"/>
      <c r="AF778" s="251"/>
      <c r="AG778" s="251"/>
      <c r="AH778" s="251"/>
      <c r="AI778" s="251"/>
      <c r="AJ778" s="251"/>
      <c r="AK778" s="251"/>
      <c r="AL778" s="251"/>
      <c r="AM778" s="251"/>
      <c r="AN778" s="251"/>
      <c r="AO778" s="251"/>
    </row>
    <row r="779" spans="2:41" x14ac:dyDescent="0.25">
      <c r="B779" s="251"/>
      <c r="C779" s="251"/>
      <c r="D779" s="251"/>
      <c r="E779" s="251"/>
      <c r="F779" s="251"/>
      <c r="G779" s="252"/>
      <c r="H779" s="253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  <c r="AA779" s="251"/>
      <c r="AB779" s="251"/>
      <c r="AC779" s="251"/>
      <c r="AD779" s="251"/>
      <c r="AE779" s="251"/>
      <c r="AF779" s="251"/>
      <c r="AG779" s="251"/>
      <c r="AH779" s="251"/>
      <c r="AI779" s="251"/>
      <c r="AJ779" s="251"/>
      <c r="AK779" s="251"/>
      <c r="AL779" s="251"/>
      <c r="AM779" s="251"/>
      <c r="AN779" s="251"/>
      <c r="AO779" s="251"/>
    </row>
    <row r="780" spans="2:41" x14ac:dyDescent="0.25">
      <c r="B780" s="251"/>
      <c r="C780" s="251"/>
      <c r="D780" s="251"/>
      <c r="E780" s="251"/>
      <c r="F780" s="251"/>
      <c r="G780" s="252"/>
      <c r="H780" s="253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  <c r="AA780" s="251"/>
      <c r="AB780" s="251"/>
      <c r="AC780" s="251"/>
      <c r="AD780" s="251"/>
      <c r="AE780" s="251"/>
      <c r="AF780" s="251"/>
      <c r="AG780" s="251"/>
      <c r="AH780" s="251"/>
      <c r="AI780" s="251"/>
      <c r="AJ780" s="251"/>
      <c r="AK780" s="251"/>
      <c r="AL780" s="251"/>
      <c r="AM780" s="251"/>
      <c r="AN780" s="251"/>
      <c r="AO780" s="251"/>
    </row>
    <row r="781" spans="2:41" x14ac:dyDescent="0.25">
      <c r="B781" s="251"/>
      <c r="C781" s="251"/>
      <c r="D781" s="251"/>
      <c r="E781" s="251"/>
      <c r="F781" s="251"/>
      <c r="G781" s="252"/>
      <c r="H781" s="253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  <c r="AA781" s="251"/>
      <c r="AB781" s="251"/>
      <c r="AC781" s="251"/>
      <c r="AD781" s="251"/>
      <c r="AE781" s="251"/>
      <c r="AF781" s="251"/>
      <c r="AG781" s="251"/>
      <c r="AH781" s="251"/>
      <c r="AI781" s="251"/>
      <c r="AJ781" s="251"/>
      <c r="AK781" s="251"/>
      <c r="AL781" s="251"/>
      <c r="AM781" s="251"/>
      <c r="AN781" s="251"/>
      <c r="AO781" s="251"/>
    </row>
    <row r="782" spans="2:41" x14ac:dyDescent="0.25">
      <c r="B782" s="251"/>
      <c r="C782" s="251"/>
      <c r="D782" s="251"/>
      <c r="E782" s="251"/>
      <c r="F782" s="251"/>
      <c r="G782" s="252"/>
      <c r="H782" s="253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  <c r="AA782" s="251"/>
      <c r="AB782" s="251"/>
      <c r="AC782" s="251"/>
      <c r="AD782" s="251"/>
      <c r="AE782" s="251"/>
      <c r="AF782" s="251"/>
      <c r="AG782" s="251"/>
      <c r="AH782" s="251"/>
      <c r="AI782" s="251"/>
      <c r="AJ782" s="251"/>
      <c r="AK782" s="251"/>
      <c r="AL782" s="251"/>
      <c r="AM782" s="251"/>
      <c r="AN782" s="251"/>
      <c r="AO782" s="251"/>
    </row>
    <row r="783" spans="2:41" x14ac:dyDescent="0.25">
      <c r="B783" s="251"/>
      <c r="C783" s="251"/>
      <c r="D783" s="251"/>
      <c r="E783" s="251"/>
      <c r="F783" s="251"/>
      <c r="G783" s="252"/>
      <c r="H783" s="253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  <c r="AA783" s="251"/>
      <c r="AB783" s="251"/>
      <c r="AC783" s="251"/>
      <c r="AD783" s="251"/>
      <c r="AE783" s="251"/>
      <c r="AF783" s="251"/>
      <c r="AG783" s="251"/>
      <c r="AH783" s="251"/>
      <c r="AI783" s="251"/>
      <c r="AJ783" s="251"/>
      <c r="AK783" s="251"/>
      <c r="AL783" s="251"/>
      <c r="AM783" s="251"/>
      <c r="AN783" s="251"/>
      <c r="AO783" s="251"/>
    </row>
    <row r="784" spans="2:41" x14ac:dyDescent="0.25">
      <c r="B784" s="251"/>
      <c r="C784" s="251"/>
      <c r="D784" s="251"/>
      <c r="E784" s="251"/>
      <c r="F784" s="251"/>
      <c r="G784" s="252"/>
      <c r="H784" s="253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  <c r="AA784" s="251"/>
      <c r="AB784" s="251"/>
      <c r="AC784" s="251"/>
      <c r="AD784" s="251"/>
      <c r="AE784" s="251"/>
      <c r="AF784" s="251"/>
      <c r="AG784" s="251"/>
      <c r="AH784" s="251"/>
      <c r="AI784" s="251"/>
      <c r="AJ784" s="251"/>
      <c r="AK784" s="251"/>
      <c r="AL784" s="251"/>
      <c r="AM784" s="251"/>
      <c r="AN784" s="251"/>
      <c r="AO784" s="251"/>
    </row>
    <row r="785" spans="2:41" x14ac:dyDescent="0.25">
      <c r="B785" s="251"/>
      <c r="C785" s="251"/>
      <c r="D785" s="251"/>
      <c r="E785" s="251"/>
      <c r="F785" s="251"/>
      <c r="G785" s="252"/>
      <c r="H785" s="253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  <c r="AA785" s="251"/>
      <c r="AB785" s="251"/>
      <c r="AC785" s="251"/>
      <c r="AD785" s="251"/>
      <c r="AE785" s="251"/>
      <c r="AF785" s="251"/>
      <c r="AG785" s="251"/>
      <c r="AH785" s="251"/>
      <c r="AI785" s="251"/>
      <c r="AJ785" s="251"/>
      <c r="AK785" s="251"/>
      <c r="AL785" s="251"/>
      <c r="AM785" s="251"/>
      <c r="AN785" s="251"/>
      <c r="AO785" s="251"/>
    </row>
    <row r="786" spans="2:41" x14ac:dyDescent="0.25">
      <c r="B786" s="251"/>
      <c r="C786" s="251"/>
      <c r="D786" s="251"/>
      <c r="E786" s="251"/>
      <c r="F786" s="251"/>
      <c r="G786" s="252"/>
      <c r="H786" s="253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  <c r="AA786" s="251"/>
      <c r="AB786" s="251"/>
      <c r="AC786" s="251"/>
      <c r="AD786" s="251"/>
      <c r="AE786" s="251"/>
      <c r="AF786" s="251"/>
      <c r="AG786" s="251"/>
      <c r="AH786" s="251"/>
      <c r="AI786" s="251"/>
      <c r="AJ786" s="251"/>
      <c r="AK786" s="251"/>
      <c r="AL786" s="251"/>
      <c r="AM786" s="251"/>
      <c r="AN786" s="251"/>
      <c r="AO786" s="251"/>
    </row>
    <row r="787" spans="2:41" x14ac:dyDescent="0.25">
      <c r="B787" s="251"/>
      <c r="C787" s="251"/>
      <c r="D787" s="251"/>
      <c r="E787" s="251"/>
      <c r="F787" s="251"/>
      <c r="G787" s="252"/>
      <c r="H787" s="253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  <c r="AA787" s="251"/>
      <c r="AB787" s="251"/>
      <c r="AC787" s="251"/>
      <c r="AD787" s="251"/>
      <c r="AE787" s="251"/>
      <c r="AF787" s="251"/>
      <c r="AG787" s="251"/>
      <c r="AH787" s="251"/>
      <c r="AI787" s="251"/>
      <c r="AJ787" s="251"/>
      <c r="AK787" s="251"/>
      <c r="AL787" s="251"/>
      <c r="AM787" s="251"/>
      <c r="AN787" s="251"/>
      <c r="AO787" s="251"/>
    </row>
    <row r="788" spans="2:41" x14ac:dyDescent="0.25">
      <c r="B788" s="251"/>
      <c r="C788" s="251"/>
      <c r="D788" s="251"/>
      <c r="E788" s="251"/>
      <c r="F788" s="251"/>
      <c r="G788" s="252"/>
      <c r="H788" s="253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  <c r="AA788" s="251"/>
      <c r="AB788" s="251"/>
      <c r="AC788" s="251"/>
      <c r="AD788" s="251"/>
      <c r="AE788" s="251"/>
      <c r="AF788" s="251"/>
      <c r="AG788" s="251"/>
      <c r="AH788" s="251"/>
      <c r="AI788" s="251"/>
      <c r="AJ788" s="251"/>
      <c r="AK788" s="251"/>
      <c r="AL788" s="251"/>
      <c r="AM788" s="251"/>
      <c r="AN788" s="251"/>
      <c r="AO788" s="251"/>
    </row>
    <row r="789" spans="2:41" x14ac:dyDescent="0.25">
      <c r="B789" s="251"/>
      <c r="C789" s="251"/>
      <c r="D789" s="251"/>
      <c r="E789" s="251"/>
      <c r="F789" s="251"/>
      <c r="G789" s="252"/>
      <c r="H789" s="253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  <c r="AA789" s="251"/>
      <c r="AB789" s="251"/>
      <c r="AC789" s="251"/>
      <c r="AD789" s="251"/>
      <c r="AE789" s="251"/>
      <c r="AF789" s="251"/>
      <c r="AG789" s="251"/>
      <c r="AH789" s="251"/>
      <c r="AI789" s="251"/>
      <c r="AJ789" s="251"/>
      <c r="AK789" s="251"/>
      <c r="AL789" s="251"/>
      <c r="AM789" s="251"/>
      <c r="AN789" s="251"/>
      <c r="AO789" s="251"/>
    </row>
    <row r="790" spans="2:41" x14ac:dyDescent="0.25">
      <c r="B790" s="251"/>
      <c r="C790" s="251"/>
      <c r="D790" s="251"/>
      <c r="E790" s="251"/>
      <c r="F790" s="251"/>
      <c r="G790" s="252"/>
      <c r="H790" s="253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  <c r="AA790" s="251"/>
      <c r="AB790" s="251"/>
      <c r="AC790" s="251"/>
      <c r="AD790" s="251"/>
      <c r="AE790" s="251"/>
      <c r="AF790" s="251"/>
      <c r="AG790" s="251"/>
      <c r="AH790" s="251"/>
      <c r="AI790" s="251"/>
      <c r="AJ790" s="251"/>
      <c r="AK790" s="251"/>
      <c r="AL790" s="251"/>
      <c r="AM790" s="251"/>
      <c r="AN790" s="251"/>
      <c r="AO790" s="251"/>
    </row>
    <row r="791" spans="2:41" x14ac:dyDescent="0.25">
      <c r="B791" s="251"/>
      <c r="C791" s="251"/>
      <c r="D791" s="251"/>
      <c r="E791" s="251"/>
      <c r="F791" s="251"/>
      <c r="G791" s="252"/>
      <c r="H791" s="253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  <c r="AA791" s="251"/>
      <c r="AB791" s="251"/>
      <c r="AC791" s="251"/>
      <c r="AD791" s="251"/>
      <c r="AE791" s="251"/>
      <c r="AF791" s="251"/>
      <c r="AG791" s="251"/>
      <c r="AH791" s="251"/>
      <c r="AI791" s="251"/>
      <c r="AJ791" s="251"/>
      <c r="AK791" s="251"/>
      <c r="AL791" s="251"/>
      <c r="AM791" s="251"/>
      <c r="AN791" s="251"/>
      <c r="AO791" s="251"/>
    </row>
    <row r="792" spans="2:41" x14ac:dyDescent="0.25">
      <c r="B792" s="251"/>
      <c r="C792" s="251"/>
      <c r="D792" s="251"/>
      <c r="E792" s="251"/>
      <c r="F792" s="251"/>
      <c r="G792" s="252"/>
      <c r="H792" s="253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  <c r="AA792" s="251"/>
      <c r="AB792" s="251"/>
      <c r="AC792" s="251"/>
      <c r="AD792" s="251"/>
      <c r="AE792" s="251"/>
      <c r="AF792" s="251"/>
      <c r="AG792" s="251"/>
      <c r="AH792" s="251"/>
      <c r="AI792" s="251"/>
      <c r="AJ792" s="251"/>
      <c r="AK792" s="251"/>
      <c r="AL792" s="251"/>
      <c r="AM792" s="251"/>
      <c r="AN792" s="251"/>
      <c r="AO792" s="251"/>
    </row>
    <row r="793" spans="2:41" x14ac:dyDescent="0.25">
      <c r="B793" s="251"/>
      <c r="C793" s="251"/>
      <c r="D793" s="251"/>
      <c r="E793" s="251"/>
      <c r="F793" s="251"/>
      <c r="G793" s="252"/>
      <c r="H793" s="253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  <c r="AA793" s="251"/>
      <c r="AB793" s="251"/>
      <c r="AC793" s="251"/>
      <c r="AD793" s="251"/>
      <c r="AE793" s="251"/>
      <c r="AF793" s="251"/>
      <c r="AG793" s="251"/>
      <c r="AH793" s="251"/>
      <c r="AI793" s="251"/>
      <c r="AJ793" s="251"/>
      <c r="AK793" s="251"/>
      <c r="AL793" s="251"/>
      <c r="AM793" s="251"/>
      <c r="AN793" s="251"/>
      <c r="AO793" s="251"/>
    </row>
    <row r="794" spans="2:41" x14ac:dyDescent="0.25">
      <c r="B794" s="251"/>
      <c r="C794" s="251"/>
      <c r="D794" s="251"/>
      <c r="E794" s="251"/>
      <c r="F794" s="251"/>
      <c r="G794" s="252"/>
      <c r="H794" s="253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  <c r="AA794" s="251"/>
      <c r="AB794" s="251"/>
      <c r="AC794" s="251"/>
      <c r="AD794" s="251"/>
      <c r="AE794" s="251"/>
      <c r="AF794" s="251"/>
      <c r="AG794" s="251"/>
      <c r="AH794" s="251"/>
      <c r="AI794" s="251"/>
      <c r="AJ794" s="251"/>
      <c r="AK794" s="251"/>
      <c r="AL794" s="251"/>
      <c r="AM794" s="251"/>
      <c r="AN794" s="251"/>
      <c r="AO794" s="251"/>
    </row>
    <row r="795" spans="2:41" x14ac:dyDescent="0.25">
      <c r="B795" s="251"/>
      <c r="C795" s="251"/>
      <c r="D795" s="251"/>
      <c r="E795" s="251"/>
      <c r="F795" s="251"/>
      <c r="G795" s="252"/>
      <c r="H795" s="253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  <c r="AA795" s="251"/>
      <c r="AB795" s="251"/>
      <c r="AC795" s="251"/>
      <c r="AD795" s="251"/>
      <c r="AE795" s="251"/>
      <c r="AF795" s="251"/>
      <c r="AG795" s="251"/>
      <c r="AH795" s="251"/>
      <c r="AI795" s="251"/>
      <c r="AJ795" s="251"/>
      <c r="AK795" s="251"/>
      <c r="AL795" s="251"/>
      <c r="AM795" s="251"/>
      <c r="AN795" s="251"/>
      <c r="AO795" s="251"/>
    </row>
    <row r="796" spans="2:41" x14ac:dyDescent="0.25">
      <c r="B796" s="251"/>
      <c r="C796" s="251"/>
      <c r="D796" s="251"/>
      <c r="E796" s="251"/>
      <c r="F796" s="251"/>
      <c r="G796" s="252"/>
      <c r="H796" s="253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  <c r="AA796" s="251"/>
      <c r="AB796" s="251"/>
      <c r="AC796" s="251"/>
      <c r="AD796" s="251"/>
      <c r="AE796" s="251"/>
      <c r="AF796" s="251"/>
      <c r="AG796" s="251"/>
      <c r="AH796" s="251"/>
      <c r="AI796" s="251"/>
      <c r="AJ796" s="251"/>
      <c r="AK796" s="251"/>
      <c r="AL796" s="251"/>
      <c r="AM796" s="251"/>
      <c r="AN796" s="251"/>
      <c r="AO796" s="251"/>
    </row>
    <row r="797" spans="2:41" x14ac:dyDescent="0.25">
      <c r="B797" s="251"/>
      <c r="C797" s="251"/>
      <c r="D797" s="251"/>
      <c r="E797" s="251"/>
      <c r="F797" s="251"/>
      <c r="G797" s="252"/>
      <c r="H797" s="253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  <c r="AA797" s="251"/>
      <c r="AB797" s="251"/>
      <c r="AC797" s="251"/>
      <c r="AD797" s="251"/>
      <c r="AE797" s="251"/>
      <c r="AF797" s="251"/>
      <c r="AG797" s="251"/>
      <c r="AH797" s="251"/>
      <c r="AI797" s="251"/>
      <c r="AJ797" s="251"/>
      <c r="AK797" s="251"/>
      <c r="AL797" s="251"/>
      <c r="AM797" s="251"/>
      <c r="AN797" s="251"/>
      <c r="AO797" s="251"/>
    </row>
    <row r="798" spans="2:41" x14ac:dyDescent="0.25">
      <c r="B798" s="251"/>
      <c r="C798" s="251"/>
      <c r="D798" s="251"/>
      <c r="E798" s="251"/>
      <c r="F798" s="251"/>
      <c r="G798" s="252"/>
      <c r="H798" s="253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  <c r="AA798" s="251"/>
      <c r="AB798" s="251"/>
      <c r="AC798" s="251"/>
      <c r="AD798" s="251"/>
      <c r="AE798" s="251"/>
      <c r="AF798" s="251"/>
      <c r="AG798" s="251"/>
      <c r="AH798" s="251"/>
      <c r="AI798" s="251"/>
      <c r="AJ798" s="251"/>
      <c r="AK798" s="251"/>
      <c r="AL798" s="251"/>
      <c r="AM798" s="251"/>
      <c r="AN798" s="251"/>
      <c r="AO798" s="251"/>
    </row>
    <row r="799" spans="2:41" x14ac:dyDescent="0.25">
      <c r="B799" s="251"/>
      <c r="C799" s="251"/>
      <c r="D799" s="251"/>
      <c r="E799" s="251"/>
      <c r="F799" s="251"/>
      <c r="G799" s="252"/>
      <c r="H799" s="253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  <c r="AA799" s="251"/>
      <c r="AB799" s="251"/>
      <c r="AC799" s="251"/>
      <c r="AD799" s="251"/>
      <c r="AE799" s="251"/>
      <c r="AF799" s="251"/>
      <c r="AG799" s="251"/>
      <c r="AH799" s="251"/>
      <c r="AI799" s="251"/>
      <c r="AJ799" s="251"/>
      <c r="AK799" s="251"/>
      <c r="AL799" s="251"/>
      <c r="AM799" s="251"/>
      <c r="AN799" s="251"/>
      <c r="AO799" s="251"/>
    </row>
    <row r="800" spans="2:41" x14ac:dyDescent="0.25">
      <c r="B800" s="251"/>
      <c r="C800" s="251"/>
      <c r="D800" s="251"/>
      <c r="E800" s="251"/>
      <c r="F800" s="251"/>
      <c r="G800" s="252"/>
      <c r="H800" s="253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  <c r="AA800" s="251"/>
      <c r="AB800" s="251"/>
      <c r="AC800" s="251"/>
      <c r="AD800" s="251"/>
      <c r="AE800" s="251"/>
      <c r="AF800" s="251"/>
      <c r="AG800" s="251"/>
      <c r="AH800" s="251"/>
      <c r="AI800" s="251"/>
      <c r="AJ800" s="251"/>
      <c r="AK800" s="251"/>
      <c r="AL800" s="251"/>
      <c r="AM800" s="251"/>
      <c r="AN800" s="251"/>
      <c r="AO800" s="251"/>
    </row>
    <row r="801" spans="2:41" x14ac:dyDescent="0.25">
      <c r="B801" s="251"/>
      <c r="C801" s="251"/>
      <c r="D801" s="251"/>
      <c r="E801" s="251"/>
      <c r="F801" s="251"/>
      <c r="G801" s="252"/>
      <c r="H801" s="253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  <c r="AA801" s="251"/>
      <c r="AB801" s="251"/>
      <c r="AC801" s="251"/>
      <c r="AD801" s="251"/>
      <c r="AE801" s="251"/>
      <c r="AF801" s="251"/>
      <c r="AG801" s="251"/>
      <c r="AH801" s="251"/>
      <c r="AI801" s="251"/>
      <c r="AJ801" s="251"/>
      <c r="AK801" s="251"/>
      <c r="AL801" s="251"/>
      <c r="AM801" s="251"/>
      <c r="AN801" s="251"/>
      <c r="AO801" s="251"/>
    </row>
    <row r="802" spans="2:41" x14ac:dyDescent="0.25">
      <c r="B802" s="251"/>
      <c r="C802" s="251"/>
      <c r="D802" s="251"/>
      <c r="E802" s="251"/>
      <c r="F802" s="251"/>
      <c r="G802" s="252"/>
      <c r="H802" s="253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  <c r="AA802" s="251"/>
      <c r="AB802" s="251"/>
      <c r="AC802" s="251"/>
      <c r="AD802" s="251"/>
      <c r="AE802" s="251"/>
      <c r="AF802" s="251"/>
      <c r="AG802" s="251"/>
      <c r="AH802" s="251"/>
      <c r="AI802" s="251"/>
      <c r="AJ802" s="251"/>
      <c r="AK802" s="251"/>
      <c r="AL802" s="251"/>
      <c r="AM802" s="251"/>
      <c r="AN802" s="251"/>
      <c r="AO802" s="251"/>
    </row>
    <row r="803" spans="2:41" x14ac:dyDescent="0.25">
      <c r="B803" s="251"/>
      <c r="C803" s="251"/>
      <c r="D803" s="251"/>
      <c r="E803" s="251"/>
      <c r="F803" s="251"/>
      <c r="G803" s="252"/>
      <c r="H803" s="253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  <c r="AA803" s="251"/>
      <c r="AB803" s="251"/>
      <c r="AC803" s="251"/>
      <c r="AD803" s="251"/>
      <c r="AE803" s="251"/>
      <c r="AF803" s="251"/>
      <c r="AG803" s="251"/>
      <c r="AH803" s="251"/>
      <c r="AI803" s="251"/>
      <c r="AJ803" s="251"/>
      <c r="AK803" s="251"/>
      <c r="AL803" s="251"/>
      <c r="AM803" s="251"/>
      <c r="AN803" s="251"/>
      <c r="AO803" s="251"/>
    </row>
    <row r="804" spans="2:41" x14ac:dyDescent="0.25">
      <c r="B804" s="251"/>
      <c r="C804" s="251"/>
      <c r="D804" s="251"/>
      <c r="E804" s="251"/>
      <c r="F804" s="251"/>
      <c r="G804" s="252"/>
      <c r="H804" s="253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  <c r="AA804" s="251"/>
      <c r="AB804" s="251"/>
      <c r="AC804" s="251"/>
      <c r="AD804" s="251"/>
      <c r="AE804" s="251"/>
      <c r="AF804" s="251"/>
      <c r="AG804" s="251"/>
      <c r="AH804" s="251"/>
      <c r="AI804" s="251"/>
      <c r="AJ804" s="251"/>
      <c r="AK804" s="251"/>
      <c r="AL804" s="251"/>
      <c r="AM804" s="251"/>
      <c r="AN804" s="251"/>
      <c r="AO804" s="251"/>
    </row>
    <row r="805" spans="2:41" x14ac:dyDescent="0.25">
      <c r="B805" s="251"/>
      <c r="C805" s="251"/>
      <c r="D805" s="251"/>
      <c r="E805" s="251"/>
      <c r="F805" s="251"/>
      <c r="G805" s="252"/>
      <c r="H805" s="253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  <c r="AA805" s="251"/>
      <c r="AB805" s="251"/>
      <c r="AC805" s="251"/>
      <c r="AD805" s="251"/>
      <c r="AE805" s="251"/>
      <c r="AF805" s="251"/>
      <c r="AG805" s="251"/>
      <c r="AH805" s="251"/>
      <c r="AI805" s="251"/>
      <c r="AJ805" s="251"/>
      <c r="AK805" s="251"/>
      <c r="AL805" s="251"/>
      <c r="AM805" s="251"/>
      <c r="AN805" s="251"/>
      <c r="AO805" s="251"/>
    </row>
    <row r="806" spans="2:41" x14ac:dyDescent="0.25">
      <c r="B806" s="251"/>
      <c r="C806" s="251"/>
      <c r="D806" s="251"/>
      <c r="E806" s="251"/>
      <c r="F806" s="251"/>
      <c r="G806" s="252"/>
      <c r="H806" s="253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  <c r="AA806" s="251"/>
      <c r="AB806" s="251"/>
      <c r="AC806" s="251"/>
      <c r="AD806" s="251"/>
      <c r="AE806" s="251"/>
      <c r="AF806" s="251"/>
      <c r="AG806" s="251"/>
      <c r="AH806" s="251"/>
      <c r="AI806" s="251"/>
      <c r="AJ806" s="251"/>
      <c r="AK806" s="251"/>
      <c r="AL806" s="251"/>
      <c r="AM806" s="251"/>
      <c r="AN806" s="251"/>
      <c r="AO806" s="251"/>
    </row>
    <row r="807" spans="2:41" x14ac:dyDescent="0.25">
      <c r="B807" s="251"/>
      <c r="C807" s="251"/>
      <c r="D807" s="251"/>
      <c r="E807" s="251"/>
      <c r="F807" s="251"/>
      <c r="G807" s="252"/>
      <c r="H807" s="253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  <c r="AA807" s="251"/>
      <c r="AB807" s="251"/>
      <c r="AC807" s="251"/>
      <c r="AD807" s="251"/>
      <c r="AE807" s="251"/>
      <c r="AF807" s="251"/>
      <c r="AG807" s="251"/>
      <c r="AH807" s="251"/>
      <c r="AI807" s="251"/>
      <c r="AJ807" s="251"/>
      <c r="AK807" s="251"/>
      <c r="AL807" s="251"/>
      <c r="AM807" s="251"/>
      <c r="AN807" s="251"/>
      <c r="AO807" s="251"/>
    </row>
    <row r="808" spans="2:41" x14ac:dyDescent="0.25">
      <c r="B808" s="251"/>
      <c r="C808" s="251"/>
      <c r="D808" s="251"/>
      <c r="E808" s="251"/>
      <c r="F808" s="251"/>
      <c r="G808" s="252"/>
      <c r="H808" s="253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  <c r="AA808" s="251"/>
      <c r="AB808" s="251"/>
      <c r="AC808" s="251"/>
      <c r="AD808" s="251"/>
      <c r="AE808" s="251"/>
      <c r="AF808" s="251"/>
      <c r="AG808" s="251"/>
      <c r="AH808" s="251"/>
      <c r="AI808" s="251"/>
      <c r="AJ808" s="251"/>
      <c r="AK808" s="251"/>
      <c r="AL808" s="251"/>
      <c r="AM808" s="251"/>
      <c r="AN808" s="251"/>
      <c r="AO808" s="251"/>
    </row>
    <row r="809" spans="2:41" x14ac:dyDescent="0.25">
      <c r="B809" s="251"/>
      <c r="C809" s="251"/>
      <c r="D809" s="251"/>
      <c r="E809" s="251"/>
      <c r="F809" s="251"/>
      <c r="G809" s="252"/>
      <c r="H809" s="253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  <c r="AA809" s="251"/>
      <c r="AB809" s="251"/>
      <c r="AC809" s="251"/>
      <c r="AD809" s="251"/>
      <c r="AE809" s="251"/>
      <c r="AF809" s="251"/>
      <c r="AG809" s="251"/>
      <c r="AH809" s="251"/>
      <c r="AI809" s="251"/>
      <c r="AJ809" s="251"/>
      <c r="AK809" s="251"/>
      <c r="AL809" s="251"/>
      <c r="AM809" s="251"/>
      <c r="AN809" s="251"/>
      <c r="AO809" s="251"/>
    </row>
    <row r="810" spans="2:41" x14ac:dyDescent="0.25">
      <c r="B810" s="251"/>
      <c r="C810" s="251"/>
      <c r="D810" s="251"/>
      <c r="E810" s="251"/>
      <c r="F810" s="251"/>
      <c r="G810" s="252"/>
      <c r="H810" s="253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  <c r="AA810" s="251"/>
      <c r="AB810" s="251"/>
      <c r="AC810" s="251"/>
      <c r="AD810" s="251"/>
      <c r="AE810" s="251"/>
      <c r="AF810" s="251"/>
      <c r="AG810" s="251"/>
      <c r="AH810" s="251"/>
      <c r="AI810" s="251"/>
      <c r="AJ810" s="251"/>
      <c r="AK810" s="251"/>
      <c r="AL810" s="251"/>
      <c r="AM810" s="251"/>
      <c r="AN810" s="251"/>
      <c r="AO810" s="251"/>
    </row>
    <row r="811" spans="2:41" x14ac:dyDescent="0.25">
      <c r="B811" s="251"/>
      <c r="C811" s="251"/>
      <c r="D811" s="251"/>
      <c r="E811" s="251"/>
      <c r="F811" s="251"/>
      <c r="G811" s="252"/>
      <c r="H811" s="253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  <c r="AA811" s="251"/>
      <c r="AB811" s="251"/>
      <c r="AC811" s="251"/>
      <c r="AD811" s="251"/>
      <c r="AE811" s="251"/>
      <c r="AF811" s="251"/>
      <c r="AG811" s="251"/>
      <c r="AH811" s="251"/>
      <c r="AI811" s="251"/>
      <c r="AJ811" s="251"/>
      <c r="AK811" s="251"/>
      <c r="AL811" s="251"/>
      <c r="AM811" s="251"/>
      <c r="AN811" s="251"/>
      <c r="AO811" s="251"/>
    </row>
    <row r="812" spans="2:41" x14ac:dyDescent="0.25">
      <c r="B812" s="251"/>
      <c r="C812" s="251"/>
      <c r="D812" s="251"/>
      <c r="E812" s="251"/>
      <c r="F812" s="251"/>
      <c r="G812" s="252"/>
      <c r="H812" s="253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  <c r="AA812" s="251"/>
      <c r="AB812" s="251"/>
      <c r="AC812" s="251"/>
      <c r="AD812" s="251"/>
      <c r="AE812" s="251"/>
      <c r="AF812" s="251"/>
      <c r="AG812" s="251"/>
      <c r="AH812" s="251"/>
      <c r="AI812" s="251"/>
      <c r="AJ812" s="251"/>
      <c r="AK812" s="251"/>
      <c r="AL812" s="251"/>
      <c r="AM812" s="251"/>
      <c r="AN812" s="251"/>
      <c r="AO812" s="251"/>
    </row>
    <row r="813" spans="2:41" x14ac:dyDescent="0.25">
      <c r="B813" s="251"/>
      <c r="C813" s="251"/>
      <c r="D813" s="251"/>
      <c r="E813" s="251"/>
      <c r="F813" s="251"/>
      <c r="G813" s="252"/>
      <c r="H813" s="253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  <c r="AA813" s="251"/>
      <c r="AB813" s="251"/>
      <c r="AC813" s="251"/>
      <c r="AD813" s="251"/>
      <c r="AE813" s="251"/>
      <c r="AF813" s="251"/>
      <c r="AG813" s="251"/>
      <c r="AH813" s="251"/>
      <c r="AI813" s="251"/>
      <c r="AJ813" s="251"/>
      <c r="AK813" s="251"/>
      <c r="AL813" s="251"/>
      <c r="AM813" s="251"/>
      <c r="AN813" s="251"/>
      <c r="AO813" s="251"/>
    </row>
    <row r="814" spans="2:41" x14ac:dyDescent="0.25">
      <c r="B814" s="251"/>
      <c r="C814" s="251"/>
      <c r="D814" s="251"/>
      <c r="E814" s="251"/>
      <c r="F814" s="251"/>
      <c r="G814" s="252"/>
      <c r="H814" s="253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  <c r="AA814" s="251"/>
      <c r="AB814" s="251"/>
      <c r="AC814" s="251"/>
      <c r="AD814" s="251"/>
      <c r="AE814" s="251"/>
      <c r="AF814" s="251"/>
      <c r="AG814" s="251"/>
      <c r="AH814" s="251"/>
      <c r="AI814" s="251"/>
      <c r="AJ814" s="251"/>
      <c r="AK814" s="251"/>
      <c r="AL814" s="251"/>
      <c r="AM814" s="251"/>
      <c r="AN814" s="251"/>
      <c r="AO814" s="251"/>
    </row>
    <row r="815" spans="2:41" x14ac:dyDescent="0.25">
      <c r="B815" s="251"/>
      <c r="C815" s="251"/>
      <c r="D815" s="251"/>
      <c r="E815" s="251"/>
      <c r="F815" s="251"/>
      <c r="G815" s="252"/>
      <c r="H815" s="253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  <c r="AA815" s="251"/>
      <c r="AB815" s="251"/>
      <c r="AC815" s="251"/>
      <c r="AD815" s="251"/>
      <c r="AE815" s="251"/>
      <c r="AF815" s="251"/>
      <c r="AG815" s="251"/>
      <c r="AH815" s="251"/>
      <c r="AI815" s="251"/>
      <c r="AJ815" s="251"/>
      <c r="AK815" s="251"/>
      <c r="AL815" s="251"/>
      <c r="AM815" s="251"/>
      <c r="AN815" s="251"/>
      <c r="AO815" s="251"/>
    </row>
    <row r="816" spans="2:41" x14ac:dyDescent="0.25">
      <c r="B816" s="251"/>
      <c r="C816" s="251"/>
      <c r="D816" s="251"/>
      <c r="E816" s="251"/>
      <c r="F816" s="251"/>
      <c r="G816" s="252"/>
      <c r="H816" s="253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  <c r="AA816" s="251"/>
      <c r="AB816" s="251"/>
      <c r="AC816" s="251"/>
      <c r="AD816" s="251"/>
      <c r="AE816" s="251"/>
      <c r="AF816" s="251"/>
      <c r="AG816" s="251"/>
      <c r="AH816" s="251"/>
      <c r="AI816" s="251"/>
      <c r="AJ816" s="251"/>
      <c r="AK816" s="251"/>
      <c r="AL816" s="251"/>
      <c r="AM816" s="251"/>
      <c r="AN816" s="251"/>
      <c r="AO816" s="251"/>
    </row>
    <row r="817" spans="2:41" x14ac:dyDescent="0.25">
      <c r="B817" s="251"/>
      <c r="C817" s="251"/>
      <c r="D817" s="251"/>
      <c r="E817" s="251"/>
      <c r="F817" s="251"/>
      <c r="G817" s="252"/>
      <c r="H817" s="253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  <c r="AA817" s="251"/>
      <c r="AB817" s="251"/>
      <c r="AC817" s="251"/>
      <c r="AD817" s="251"/>
      <c r="AE817" s="251"/>
      <c r="AF817" s="251"/>
      <c r="AG817" s="251"/>
      <c r="AH817" s="251"/>
      <c r="AI817" s="251"/>
      <c r="AJ817" s="251"/>
      <c r="AK817" s="251"/>
      <c r="AL817" s="251"/>
      <c r="AM817" s="251"/>
      <c r="AN817" s="251"/>
      <c r="AO817" s="251"/>
    </row>
    <row r="818" spans="2:41" x14ac:dyDescent="0.25">
      <c r="B818" s="251"/>
      <c r="C818" s="251"/>
      <c r="D818" s="251"/>
      <c r="E818" s="251"/>
      <c r="F818" s="251"/>
      <c r="G818" s="252"/>
      <c r="H818" s="253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  <c r="AA818" s="251"/>
      <c r="AB818" s="251"/>
      <c r="AC818" s="251"/>
      <c r="AD818" s="251"/>
      <c r="AE818" s="251"/>
      <c r="AF818" s="251"/>
      <c r="AG818" s="251"/>
      <c r="AH818" s="251"/>
      <c r="AI818" s="251"/>
      <c r="AJ818" s="251"/>
      <c r="AK818" s="251"/>
      <c r="AL818" s="251"/>
      <c r="AM818" s="251"/>
      <c r="AN818" s="251"/>
      <c r="AO818" s="251"/>
    </row>
    <row r="819" spans="2:41" x14ac:dyDescent="0.25">
      <c r="B819" s="251"/>
      <c r="C819" s="251"/>
      <c r="D819" s="251"/>
      <c r="E819" s="251"/>
      <c r="F819" s="251"/>
      <c r="G819" s="252"/>
      <c r="H819" s="253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  <c r="AA819" s="251"/>
      <c r="AB819" s="251"/>
      <c r="AC819" s="251"/>
      <c r="AD819" s="251"/>
      <c r="AE819" s="251"/>
      <c r="AF819" s="251"/>
      <c r="AG819" s="251"/>
      <c r="AH819" s="251"/>
      <c r="AI819" s="251"/>
      <c r="AJ819" s="251"/>
      <c r="AK819" s="251"/>
      <c r="AL819" s="251"/>
      <c r="AM819" s="251"/>
      <c r="AN819" s="251"/>
      <c r="AO819" s="251"/>
    </row>
    <row r="820" spans="2:41" x14ac:dyDescent="0.25">
      <c r="B820" s="251"/>
      <c r="C820" s="251"/>
      <c r="D820" s="251"/>
      <c r="E820" s="251"/>
      <c r="F820" s="251"/>
      <c r="G820" s="252"/>
      <c r="H820" s="253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  <c r="AA820" s="251"/>
      <c r="AB820" s="251"/>
      <c r="AC820" s="251"/>
      <c r="AD820" s="251"/>
      <c r="AE820" s="251"/>
      <c r="AF820" s="251"/>
      <c r="AG820" s="251"/>
      <c r="AH820" s="251"/>
      <c r="AI820" s="251"/>
      <c r="AJ820" s="251"/>
      <c r="AK820" s="251"/>
      <c r="AL820" s="251"/>
      <c r="AM820" s="251"/>
      <c r="AN820" s="251"/>
      <c r="AO820" s="251"/>
    </row>
    <row r="821" spans="2:41" x14ac:dyDescent="0.25">
      <c r="B821" s="251"/>
      <c r="C821" s="251"/>
      <c r="D821" s="251"/>
      <c r="E821" s="251"/>
      <c r="F821" s="251"/>
      <c r="G821" s="252"/>
      <c r="H821" s="253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  <c r="AA821" s="251"/>
      <c r="AB821" s="251"/>
      <c r="AC821" s="251"/>
      <c r="AD821" s="251"/>
      <c r="AE821" s="251"/>
      <c r="AF821" s="251"/>
      <c r="AG821" s="251"/>
      <c r="AH821" s="251"/>
      <c r="AI821" s="251"/>
      <c r="AJ821" s="251"/>
      <c r="AK821" s="251"/>
      <c r="AL821" s="251"/>
      <c r="AM821" s="251"/>
      <c r="AN821" s="251"/>
      <c r="AO821" s="251"/>
    </row>
    <row r="822" spans="2:41" x14ac:dyDescent="0.25">
      <c r="B822" s="251"/>
      <c r="C822" s="251"/>
      <c r="D822" s="251"/>
      <c r="E822" s="251"/>
      <c r="F822" s="251"/>
      <c r="G822" s="252"/>
      <c r="H822" s="253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  <c r="AA822" s="251"/>
      <c r="AB822" s="251"/>
      <c r="AC822" s="251"/>
      <c r="AD822" s="251"/>
      <c r="AE822" s="251"/>
      <c r="AF822" s="251"/>
      <c r="AG822" s="251"/>
      <c r="AH822" s="251"/>
      <c r="AI822" s="251"/>
      <c r="AJ822" s="251"/>
      <c r="AK822" s="251"/>
      <c r="AL822" s="251"/>
      <c r="AM822" s="251"/>
      <c r="AN822" s="251"/>
      <c r="AO822" s="251"/>
    </row>
    <row r="823" spans="2:41" x14ac:dyDescent="0.25">
      <c r="B823" s="251"/>
      <c r="C823" s="251"/>
      <c r="D823" s="251"/>
      <c r="E823" s="251"/>
      <c r="F823" s="251"/>
      <c r="G823" s="252"/>
      <c r="H823" s="253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  <c r="AA823" s="251"/>
      <c r="AB823" s="251"/>
      <c r="AC823" s="251"/>
      <c r="AD823" s="251"/>
      <c r="AE823" s="251"/>
      <c r="AF823" s="251"/>
      <c r="AG823" s="251"/>
      <c r="AH823" s="251"/>
      <c r="AI823" s="251"/>
      <c r="AJ823" s="251"/>
      <c r="AK823" s="251"/>
      <c r="AL823" s="251"/>
      <c r="AM823" s="251"/>
      <c r="AN823" s="251"/>
      <c r="AO823" s="251"/>
    </row>
    <row r="824" spans="2:41" x14ac:dyDescent="0.25">
      <c r="B824" s="251"/>
      <c r="C824" s="251"/>
      <c r="D824" s="251"/>
      <c r="E824" s="251"/>
      <c r="F824" s="251"/>
      <c r="G824" s="252"/>
      <c r="H824" s="253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  <c r="AA824" s="251"/>
      <c r="AB824" s="251"/>
      <c r="AC824" s="251"/>
      <c r="AD824" s="251"/>
      <c r="AE824" s="251"/>
      <c r="AF824" s="251"/>
      <c r="AG824" s="251"/>
      <c r="AH824" s="251"/>
      <c r="AI824" s="251"/>
      <c r="AJ824" s="251"/>
      <c r="AK824" s="251"/>
      <c r="AL824" s="251"/>
      <c r="AM824" s="251"/>
      <c r="AN824" s="251"/>
      <c r="AO824" s="251"/>
    </row>
    <row r="825" spans="2:41" x14ac:dyDescent="0.25">
      <c r="B825" s="251"/>
      <c r="C825" s="251"/>
      <c r="D825" s="251"/>
      <c r="E825" s="251"/>
      <c r="F825" s="251"/>
      <c r="G825" s="252"/>
      <c r="H825" s="253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  <c r="AA825" s="251"/>
      <c r="AB825" s="251"/>
      <c r="AC825" s="251"/>
      <c r="AD825" s="251"/>
      <c r="AE825" s="251"/>
      <c r="AF825" s="251"/>
      <c r="AG825" s="251"/>
      <c r="AH825" s="251"/>
      <c r="AI825" s="251"/>
      <c r="AJ825" s="251"/>
      <c r="AK825" s="251"/>
      <c r="AL825" s="251"/>
      <c r="AM825" s="251"/>
      <c r="AN825" s="251"/>
      <c r="AO825" s="251"/>
    </row>
    <row r="826" spans="2:41" x14ac:dyDescent="0.25">
      <c r="B826" s="251"/>
      <c r="C826" s="251"/>
      <c r="D826" s="251"/>
      <c r="E826" s="251"/>
      <c r="F826" s="251"/>
      <c r="G826" s="252"/>
      <c r="H826" s="253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  <c r="AA826" s="251"/>
      <c r="AB826" s="251"/>
      <c r="AC826" s="251"/>
      <c r="AD826" s="251"/>
      <c r="AE826" s="251"/>
      <c r="AF826" s="251"/>
      <c r="AG826" s="251"/>
      <c r="AH826" s="251"/>
      <c r="AI826" s="251"/>
      <c r="AJ826" s="251"/>
      <c r="AK826" s="251"/>
      <c r="AL826" s="251"/>
      <c r="AM826" s="251"/>
      <c r="AN826" s="251"/>
      <c r="AO826" s="251"/>
    </row>
    <row r="827" spans="2:41" x14ac:dyDescent="0.25">
      <c r="B827" s="251"/>
      <c r="C827" s="251"/>
      <c r="D827" s="251"/>
      <c r="E827" s="251"/>
      <c r="F827" s="251"/>
      <c r="G827" s="252"/>
      <c r="H827" s="253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  <c r="AA827" s="251"/>
      <c r="AB827" s="251"/>
      <c r="AC827" s="251"/>
      <c r="AD827" s="251"/>
      <c r="AE827" s="251"/>
      <c r="AF827" s="251"/>
      <c r="AG827" s="251"/>
      <c r="AH827" s="251"/>
      <c r="AI827" s="251"/>
      <c r="AJ827" s="251"/>
      <c r="AK827" s="251"/>
      <c r="AL827" s="251"/>
      <c r="AM827" s="251"/>
      <c r="AN827" s="251"/>
      <c r="AO827" s="251"/>
    </row>
    <row r="828" spans="2:41" x14ac:dyDescent="0.25">
      <c r="B828" s="251"/>
      <c r="C828" s="251"/>
      <c r="D828" s="251"/>
      <c r="E828" s="251"/>
      <c r="F828" s="251"/>
      <c r="G828" s="252"/>
      <c r="H828" s="253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  <c r="AA828" s="251"/>
      <c r="AB828" s="251"/>
      <c r="AC828" s="251"/>
      <c r="AD828" s="251"/>
      <c r="AE828" s="251"/>
      <c r="AF828" s="251"/>
      <c r="AG828" s="251"/>
      <c r="AH828" s="251"/>
      <c r="AI828" s="251"/>
      <c r="AJ828" s="251"/>
      <c r="AK828" s="251"/>
      <c r="AL828" s="251"/>
      <c r="AM828" s="251"/>
      <c r="AN828" s="251"/>
      <c r="AO828" s="251"/>
    </row>
    <row r="829" spans="2:41" x14ac:dyDescent="0.25">
      <c r="B829" s="251"/>
      <c r="C829" s="251"/>
      <c r="D829" s="251"/>
      <c r="E829" s="251"/>
      <c r="F829" s="251"/>
      <c r="G829" s="252"/>
      <c r="H829" s="253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  <c r="AA829" s="251"/>
      <c r="AB829" s="251"/>
      <c r="AC829" s="251"/>
      <c r="AD829" s="251"/>
      <c r="AE829" s="251"/>
      <c r="AF829" s="251"/>
      <c r="AG829" s="251"/>
      <c r="AH829" s="251"/>
      <c r="AI829" s="251"/>
      <c r="AJ829" s="251"/>
      <c r="AK829" s="251"/>
      <c r="AL829" s="251"/>
      <c r="AM829" s="251"/>
      <c r="AN829" s="251"/>
      <c r="AO829" s="251"/>
    </row>
    <row r="830" spans="2:41" x14ac:dyDescent="0.25">
      <c r="B830" s="251"/>
      <c r="C830" s="251"/>
      <c r="D830" s="251"/>
      <c r="E830" s="251"/>
      <c r="F830" s="251"/>
      <c r="G830" s="252"/>
      <c r="H830" s="253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  <c r="AA830" s="251"/>
      <c r="AB830" s="251"/>
      <c r="AC830" s="251"/>
      <c r="AD830" s="251"/>
      <c r="AE830" s="251"/>
      <c r="AF830" s="251"/>
      <c r="AG830" s="251"/>
      <c r="AH830" s="251"/>
      <c r="AI830" s="251"/>
      <c r="AJ830" s="251"/>
      <c r="AK830" s="251"/>
      <c r="AL830" s="251"/>
      <c r="AM830" s="251"/>
      <c r="AN830" s="251"/>
      <c r="AO830" s="251"/>
    </row>
    <row r="831" spans="2:41" x14ac:dyDescent="0.25">
      <c r="B831" s="251"/>
      <c r="C831" s="251"/>
      <c r="D831" s="251"/>
      <c r="E831" s="251"/>
      <c r="F831" s="251"/>
      <c r="G831" s="252"/>
      <c r="H831" s="253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  <c r="AA831" s="251"/>
      <c r="AB831" s="251"/>
      <c r="AC831" s="251"/>
      <c r="AD831" s="251"/>
      <c r="AE831" s="251"/>
      <c r="AF831" s="251"/>
      <c r="AG831" s="251"/>
      <c r="AH831" s="251"/>
      <c r="AI831" s="251"/>
      <c r="AJ831" s="251"/>
      <c r="AK831" s="251"/>
      <c r="AL831" s="251"/>
      <c r="AM831" s="251"/>
      <c r="AN831" s="251"/>
      <c r="AO831" s="251"/>
    </row>
    <row r="832" spans="2:41" x14ac:dyDescent="0.25">
      <c r="B832" s="251"/>
      <c r="C832" s="251"/>
      <c r="D832" s="251"/>
      <c r="E832" s="251"/>
      <c r="F832" s="251"/>
      <c r="G832" s="252"/>
      <c r="H832" s="253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  <c r="AA832" s="251"/>
      <c r="AB832" s="251"/>
      <c r="AC832" s="251"/>
      <c r="AD832" s="251"/>
      <c r="AE832" s="251"/>
      <c r="AF832" s="251"/>
      <c r="AG832" s="251"/>
      <c r="AH832" s="251"/>
      <c r="AI832" s="251"/>
      <c r="AJ832" s="251"/>
      <c r="AK832" s="251"/>
      <c r="AL832" s="251"/>
      <c r="AM832" s="251"/>
      <c r="AN832" s="251"/>
      <c r="AO832" s="251"/>
    </row>
    <row r="833" spans="2:41" x14ac:dyDescent="0.25">
      <c r="B833" s="251"/>
      <c r="C833" s="251"/>
      <c r="D833" s="251"/>
      <c r="E833" s="251"/>
      <c r="F833" s="251"/>
      <c r="G833" s="252"/>
      <c r="H833" s="253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  <c r="AA833" s="251"/>
      <c r="AB833" s="251"/>
      <c r="AC833" s="251"/>
      <c r="AD833" s="251"/>
      <c r="AE833" s="251"/>
      <c r="AF833" s="251"/>
      <c r="AG833" s="251"/>
      <c r="AH833" s="251"/>
      <c r="AI833" s="251"/>
      <c r="AJ833" s="251"/>
      <c r="AK833" s="251"/>
      <c r="AL833" s="251"/>
      <c r="AM833" s="251"/>
      <c r="AN833" s="251"/>
      <c r="AO833" s="251"/>
    </row>
    <row r="834" spans="2:41" x14ac:dyDescent="0.25">
      <c r="B834" s="251"/>
      <c r="C834" s="251"/>
      <c r="D834" s="251"/>
      <c r="E834" s="251"/>
      <c r="F834" s="251"/>
      <c r="G834" s="252"/>
      <c r="H834" s="253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  <c r="AA834" s="251"/>
      <c r="AB834" s="251"/>
      <c r="AC834" s="251"/>
      <c r="AD834" s="251"/>
      <c r="AE834" s="251"/>
      <c r="AF834" s="251"/>
      <c r="AG834" s="251"/>
      <c r="AH834" s="251"/>
      <c r="AI834" s="251"/>
      <c r="AJ834" s="251"/>
      <c r="AK834" s="251"/>
      <c r="AL834" s="251"/>
      <c r="AM834" s="251"/>
      <c r="AN834" s="251"/>
      <c r="AO834" s="251"/>
    </row>
    <row r="835" spans="2:41" x14ac:dyDescent="0.25">
      <c r="B835" s="251"/>
      <c r="C835" s="251"/>
      <c r="D835" s="251"/>
      <c r="E835" s="251"/>
      <c r="F835" s="251"/>
      <c r="G835" s="252"/>
      <c r="H835" s="253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  <c r="AA835" s="251"/>
      <c r="AB835" s="251"/>
      <c r="AC835" s="251"/>
      <c r="AD835" s="251"/>
      <c r="AE835" s="251"/>
      <c r="AF835" s="251"/>
      <c r="AG835" s="251"/>
      <c r="AH835" s="251"/>
      <c r="AI835" s="251"/>
      <c r="AJ835" s="251"/>
      <c r="AK835" s="251"/>
      <c r="AL835" s="251"/>
      <c r="AM835" s="251"/>
      <c r="AN835" s="251"/>
      <c r="AO835" s="251"/>
    </row>
    <row r="836" spans="2:41" x14ac:dyDescent="0.25">
      <c r="B836" s="251"/>
      <c r="C836" s="251"/>
      <c r="D836" s="251"/>
      <c r="E836" s="251"/>
      <c r="F836" s="251"/>
      <c r="G836" s="252"/>
      <c r="H836" s="253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  <c r="AA836" s="251"/>
      <c r="AB836" s="251"/>
      <c r="AC836" s="251"/>
      <c r="AD836" s="251"/>
      <c r="AE836" s="251"/>
      <c r="AF836" s="251"/>
      <c r="AG836" s="251"/>
      <c r="AH836" s="251"/>
      <c r="AI836" s="251"/>
      <c r="AJ836" s="251"/>
      <c r="AK836" s="251"/>
      <c r="AL836" s="251"/>
      <c r="AM836" s="251"/>
      <c r="AN836" s="251"/>
      <c r="AO836" s="251"/>
    </row>
    <row r="837" spans="2:41" x14ac:dyDescent="0.25">
      <c r="B837" s="251"/>
      <c r="C837" s="251"/>
      <c r="D837" s="251"/>
      <c r="E837" s="251"/>
      <c r="F837" s="251"/>
      <c r="G837" s="252"/>
      <c r="H837" s="253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  <c r="AA837" s="251"/>
      <c r="AB837" s="251"/>
      <c r="AC837" s="251"/>
      <c r="AD837" s="251"/>
      <c r="AE837" s="251"/>
      <c r="AF837" s="251"/>
      <c r="AG837" s="251"/>
      <c r="AH837" s="251"/>
      <c r="AI837" s="251"/>
      <c r="AJ837" s="251"/>
      <c r="AK837" s="251"/>
      <c r="AL837" s="251"/>
      <c r="AM837" s="251"/>
      <c r="AN837" s="251"/>
      <c r="AO837" s="251"/>
    </row>
    <row r="838" spans="2:41" x14ac:dyDescent="0.25">
      <c r="B838" s="251"/>
      <c r="C838" s="251"/>
      <c r="D838" s="251"/>
      <c r="E838" s="251"/>
      <c r="F838" s="251"/>
      <c r="G838" s="252"/>
      <c r="H838" s="253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  <c r="AA838" s="251"/>
      <c r="AB838" s="251"/>
      <c r="AC838" s="251"/>
      <c r="AD838" s="251"/>
      <c r="AE838" s="251"/>
      <c r="AF838" s="251"/>
      <c r="AG838" s="251"/>
      <c r="AH838" s="251"/>
      <c r="AI838" s="251"/>
      <c r="AJ838" s="251"/>
      <c r="AK838" s="251"/>
      <c r="AL838" s="251"/>
      <c r="AM838" s="251"/>
      <c r="AN838" s="251"/>
      <c r="AO838" s="251"/>
    </row>
    <row r="839" spans="2:41" x14ac:dyDescent="0.25">
      <c r="B839" s="251"/>
      <c r="C839" s="251"/>
      <c r="D839" s="251"/>
      <c r="E839" s="251"/>
      <c r="F839" s="251"/>
      <c r="G839" s="252"/>
      <c r="H839" s="253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  <c r="AA839" s="251"/>
      <c r="AB839" s="251"/>
      <c r="AC839" s="251"/>
      <c r="AD839" s="251"/>
      <c r="AE839" s="251"/>
      <c r="AF839" s="251"/>
      <c r="AG839" s="251"/>
      <c r="AH839" s="251"/>
      <c r="AI839" s="251"/>
      <c r="AJ839" s="251"/>
      <c r="AK839" s="251"/>
      <c r="AL839" s="251"/>
      <c r="AM839" s="251"/>
      <c r="AN839" s="251"/>
      <c r="AO839" s="251"/>
    </row>
    <row r="840" spans="2:41" x14ac:dyDescent="0.25">
      <c r="B840" s="251"/>
      <c r="C840" s="251"/>
      <c r="D840" s="251"/>
      <c r="E840" s="251"/>
      <c r="F840" s="251"/>
      <c r="G840" s="252"/>
      <c r="H840" s="253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  <c r="AA840" s="251"/>
      <c r="AB840" s="251"/>
      <c r="AC840" s="251"/>
      <c r="AD840" s="251"/>
      <c r="AE840" s="251"/>
      <c r="AF840" s="251"/>
      <c r="AG840" s="251"/>
      <c r="AH840" s="251"/>
      <c r="AI840" s="251"/>
      <c r="AJ840" s="251"/>
      <c r="AK840" s="251"/>
      <c r="AL840" s="251"/>
      <c r="AM840" s="251"/>
      <c r="AN840" s="251"/>
      <c r="AO840" s="251"/>
    </row>
    <row r="841" spans="2:41" x14ac:dyDescent="0.25">
      <c r="B841" s="251"/>
      <c r="C841" s="251"/>
      <c r="D841" s="251"/>
      <c r="E841" s="251"/>
      <c r="F841" s="251"/>
      <c r="G841" s="252"/>
      <c r="H841" s="253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  <c r="AA841" s="251"/>
      <c r="AB841" s="251"/>
      <c r="AC841" s="251"/>
      <c r="AD841" s="251"/>
      <c r="AE841" s="251"/>
      <c r="AF841" s="251"/>
      <c r="AG841" s="251"/>
      <c r="AH841" s="251"/>
      <c r="AI841" s="251"/>
      <c r="AJ841" s="251"/>
      <c r="AK841" s="251"/>
      <c r="AL841" s="251"/>
      <c r="AM841" s="251"/>
      <c r="AN841" s="251"/>
      <c r="AO841" s="251"/>
    </row>
    <row r="842" spans="2:41" x14ac:dyDescent="0.25">
      <c r="B842" s="251"/>
      <c r="C842" s="251"/>
      <c r="D842" s="251"/>
      <c r="E842" s="251"/>
      <c r="F842" s="251"/>
      <c r="G842" s="252"/>
      <c r="H842" s="253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  <c r="AA842" s="251"/>
      <c r="AB842" s="251"/>
      <c r="AC842" s="251"/>
      <c r="AD842" s="251"/>
      <c r="AE842" s="251"/>
      <c r="AF842" s="251"/>
      <c r="AG842" s="251"/>
      <c r="AH842" s="251"/>
      <c r="AI842" s="251"/>
      <c r="AJ842" s="251"/>
      <c r="AK842" s="251"/>
      <c r="AL842" s="251"/>
      <c r="AM842" s="251"/>
      <c r="AN842" s="251"/>
      <c r="AO842" s="251"/>
    </row>
    <row r="843" spans="2:41" x14ac:dyDescent="0.25">
      <c r="B843" s="251"/>
      <c r="C843" s="251"/>
      <c r="D843" s="251"/>
      <c r="E843" s="251"/>
      <c r="F843" s="251"/>
      <c r="G843" s="252"/>
      <c r="H843" s="253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  <c r="AA843" s="251"/>
      <c r="AB843" s="251"/>
      <c r="AC843" s="251"/>
      <c r="AD843" s="251"/>
      <c r="AE843" s="251"/>
      <c r="AF843" s="251"/>
      <c r="AG843" s="251"/>
      <c r="AH843" s="251"/>
      <c r="AI843" s="251"/>
      <c r="AJ843" s="251"/>
      <c r="AK843" s="251"/>
      <c r="AL843" s="251"/>
      <c r="AM843" s="251"/>
      <c r="AN843" s="251"/>
      <c r="AO843" s="25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40"/>
  <sheetViews>
    <sheetView workbookViewId="0"/>
  </sheetViews>
  <sheetFormatPr defaultColWidth="12.625" defaultRowHeight="15" customHeight="1" x14ac:dyDescent="0.2"/>
  <cols>
    <col min="1" max="1" width="6.375" customWidth="1"/>
    <col min="2" max="2" width="5.625" customWidth="1"/>
    <col min="3" max="3" width="13.125" customWidth="1"/>
    <col min="6" max="6" width="6.875" customWidth="1"/>
    <col min="7" max="7" width="6.75" customWidth="1"/>
    <col min="11" max="11" width="4.125" customWidth="1"/>
    <col min="12" max="12" width="5.125" customWidth="1"/>
  </cols>
  <sheetData>
    <row r="1" spans="1:25" x14ac:dyDescent="0.25">
      <c r="A1" s="296"/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</row>
    <row r="2" spans="1:25" x14ac:dyDescent="0.25">
      <c r="A2" s="553" t="s">
        <v>0</v>
      </c>
      <c r="B2" s="554"/>
      <c r="C2" s="554"/>
      <c r="D2" s="554"/>
      <c r="E2" s="555"/>
      <c r="F2" s="296"/>
      <c r="G2" s="296"/>
      <c r="H2" s="553" t="s">
        <v>0</v>
      </c>
      <c r="I2" s="554"/>
      <c r="J2" s="555"/>
      <c r="K2" s="553" t="s">
        <v>65</v>
      </c>
      <c r="L2" s="554"/>
      <c r="M2" s="554"/>
      <c r="N2" s="555"/>
      <c r="O2" s="296"/>
      <c r="P2" s="296"/>
      <c r="Q2" s="296"/>
      <c r="R2" s="296"/>
      <c r="S2" s="296"/>
      <c r="T2" s="297"/>
      <c r="U2" s="297"/>
      <c r="V2" s="297"/>
      <c r="W2" s="297"/>
    </row>
    <row r="3" spans="1:25" x14ac:dyDescent="0.25">
      <c r="A3" s="298" t="s">
        <v>66</v>
      </c>
      <c r="B3" s="298" t="s">
        <v>67</v>
      </c>
      <c r="C3" s="298" t="s">
        <v>68</v>
      </c>
      <c r="D3" s="299" t="s">
        <v>69</v>
      </c>
      <c r="E3" s="299" t="s">
        <v>70</v>
      </c>
      <c r="F3" s="300" t="s">
        <v>71</v>
      </c>
      <c r="G3" s="300" t="s">
        <v>72</v>
      </c>
      <c r="H3" s="299" t="s">
        <v>66</v>
      </c>
      <c r="I3" s="299" t="s">
        <v>1</v>
      </c>
      <c r="J3" s="299" t="s">
        <v>2</v>
      </c>
      <c r="K3" s="298" t="s">
        <v>66</v>
      </c>
      <c r="L3" s="298" t="s">
        <v>67</v>
      </c>
      <c r="M3" s="299" t="s">
        <v>68</v>
      </c>
      <c r="N3" s="299" t="s">
        <v>73</v>
      </c>
      <c r="O3" s="296"/>
      <c r="P3" s="296"/>
      <c r="Q3" s="301"/>
      <c r="R3" s="302"/>
      <c r="S3" s="297"/>
      <c r="T3" s="297"/>
      <c r="U3" s="297"/>
      <c r="V3" s="297"/>
      <c r="W3" s="297"/>
    </row>
    <row r="4" spans="1:25" x14ac:dyDescent="0.25">
      <c r="A4" s="303">
        <v>1</v>
      </c>
      <c r="B4" s="304" t="s">
        <v>74</v>
      </c>
      <c r="C4" s="305">
        <v>0.44700000000000001</v>
      </c>
      <c r="D4" s="306">
        <f t="shared" ref="D4:D19" si="0">C4/0.023</f>
        <v>19.434782608695652</v>
      </c>
      <c r="E4" s="307"/>
      <c r="F4" s="300"/>
      <c r="G4" s="300"/>
      <c r="H4" s="308">
        <v>0</v>
      </c>
      <c r="I4" s="309">
        <v>22</v>
      </c>
      <c r="J4" s="310">
        <v>20.579710144927535</v>
      </c>
      <c r="K4" s="303">
        <v>1</v>
      </c>
      <c r="L4" s="304" t="s">
        <v>74</v>
      </c>
      <c r="M4" s="311">
        <v>0.33500000000000002</v>
      </c>
      <c r="N4" s="311">
        <f t="shared" ref="N4:N20" si="1">M4/0.0319</f>
        <v>10.501567398119123</v>
      </c>
      <c r="O4" s="312">
        <f>AVERAGE(N4:N6)</f>
        <v>5.7366771159874617</v>
      </c>
      <c r="P4" s="3">
        <f t="shared" ref="P4:P20" si="2">N4*50</f>
        <v>525.07836990595615</v>
      </c>
      <c r="Q4" s="296"/>
      <c r="R4" s="302">
        <f>SQRT(2)</f>
        <v>1.4142135623730951</v>
      </c>
      <c r="S4" s="297"/>
      <c r="T4" s="313"/>
      <c r="U4" s="313"/>
      <c r="V4" s="297"/>
      <c r="W4" s="297"/>
    </row>
    <row r="5" spans="1:25" x14ac:dyDescent="0.25">
      <c r="A5" s="303">
        <v>1</v>
      </c>
      <c r="B5" s="304" t="s">
        <v>74</v>
      </c>
      <c r="C5" s="305">
        <v>0.47199999999999998</v>
      </c>
      <c r="D5" s="306">
        <f t="shared" si="0"/>
        <v>20.521739130434781</v>
      </c>
      <c r="E5" s="307">
        <f>AVERAGEA(D4:D5)</f>
        <v>19.978260869565219</v>
      </c>
      <c r="F5" s="300">
        <f>STDEVA(D4:D5)</f>
        <v>0.7685943273766811</v>
      </c>
      <c r="G5" s="300">
        <v>2</v>
      </c>
      <c r="H5" s="308">
        <v>2</v>
      </c>
      <c r="I5" s="309">
        <v>21.478260869565219</v>
      </c>
      <c r="J5" s="314">
        <v>21.681159420289855</v>
      </c>
      <c r="K5" s="303">
        <v>1</v>
      </c>
      <c r="L5" s="304" t="s">
        <v>74</v>
      </c>
      <c r="M5" s="311">
        <v>0.126</v>
      </c>
      <c r="N5" s="311">
        <f t="shared" si="1"/>
        <v>3.949843260188088</v>
      </c>
      <c r="P5" s="3">
        <f t="shared" si="2"/>
        <v>197.49216300940441</v>
      </c>
      <c r="Q5" s="296"/>
      <c r="R5" s="302"/>
      <c r="S5" s="296"/>
      <c r="T5" s="296"/>
      <c r="U5" s="296"/>
      <c r="V5" s="296"/>
      <c r="W5" s="296"/>
    </row>
    <row r="6" spans="1:25" x14ac:dyDescent="0.25">
      <c r="A6" s="308">
        <v>1</v>
      </c>
      <c r="B6" s="299" t="s">
        <v>75</v>
      </c>
      <c r="C6" s="315">
        <v>0.51200000000000001</v>
      </c>
      <c r="D6" s="316">
        <f t="shared" si="0"/>
        <v>22.260869565217391</v>
      </c>
      <c r="E6" s="309">
        <v>23.927536231884059</v>
      </c>
      <c r="F6" s="300">
        <v>1.8468454345806118</v>
      </c>
      <c r="G6" s="300">
        <v>3</v>
      </c>
      <c r="H6" s="300"/>
      <c r="I6" s="300"/>
      <c r="J6" s="300"/>
      <c r="K6" s="303">
        <v>1</v>
      </c>
      <c r="L6" s="304" t="s">
        <v>74</v>
      </c>
      <c r="M6" s="311">
        <v>8.7999999999999995E-2</v>
      </c>
      <c r="N6" s="311">
        <f t="shared" si="1"/>
        <v>2.7586206896551726</v>
      </c>
      <c r="P6" s="3">
        <f t="shared" si="2"/>
        <v>137.93103448275863</v>
      </c>
      <c r="Q6" s="296"/>
      <c r="R6" s="302"/>
      <c r="S6" s="296"/>
      <c r="T6" s="296"/>
      <c r="U6" s="296"/>
      <c r="V6" s="296"/>
      <c r="W6" s="296"/>
    </row>
    <row r="7" spans="1:25" x14ac:dyDescent="0.25">
      <c r="A7" s="308">
        <v>1</v>
      </c>
      <c r="B7" s="299" t="s">
        <v>75</v>
      </c>
      <c r="C7" s="315">
        <v>0.54300000000000004</v>
      </c>
      <c r="D7" s="316">
        <f t="shared" si="0"/>
        <v>23.608695652173914</v>
      </c>
      <c r="E7" s="309"/>
      <c r="F7" s="300"/>
      <c r="G7" s="300"/>
      <c r="H7" s="300"/>
      <c r="I7" s="300"/>
      <c r="J7" s="300"/>
      <c r="K7" s="308">
        <v>1</v>
      </c>
      <c r="L7" s="299" t="s">
        <v>75</v>
      </c>
      <c r="M7" s="317">
        <v>9.8000000000000004E-2</v>
      </c>
      <c r="N7" s="317">
        <f t="shared" si="1"/>
        <v>3.0721003134796243</v>
      </c>
      <c r="P7" s="3">
        <f t="shared" si="2"/>
        <v>153.60501567398123</v>
      </c>
      <c r="Q7" s="302"/>
      <c r="R7" s="318"/>
      <c r="S7" s="296"/>
      <c r="T7" s="302"/>
      <c r="U7" s="296"/>
      <c r="V7" s="296"/>
      <c r="W7" s="296"/>
      <c r="X7" s="296"/>
      <c r="Y7" s="296"/>
    </row>
    <row r="8" spans="1:25" x14ac:dyDescent="0.25">
      <c r="A8" s="308">
        <v>1</v>
      </c>
      <c r="B8" s="299" t="s">
        <v>75</v>
      </c>
      <c r="C8" s="315">
        <v>0.59599999999999997</v>
      </c>
      <c r="D8" s="316">
        <f t="shared" si="0"/>
        <v>25.913043478260867</v>
      </c>
      <c r="E8" s="309"/>
      <c r="F8" s="300"/>
      <c r="G8" s="300"/>
      <c r="H8" s="553" t="s">
        <v>22</v>
      </c>
      <c r="I8" s="554"/>
      <c r="J8" s="555"/>
      <c r="K8" s="308">
        <v>1</v>
      </c>
      <c r="L8" s="299" t="s">
        <v>75</v>
      </c>
      <c r="M8" s="317">
        <v>0.18010000000000001</v>
      </c>
      <c r="N8" s="317">
        <f t="shared" si="1"/>
        <v>5.6457680250783708</v>
      </c>
      <c r="P8" s="3">
        <f t="shared" si="2"/>
        <v>282.28840125391855</v>
      </c>
      <c r="Q8" s="319"/>
      <c r="R8" s="318"/>
      <c r="S8" s="296"/>
      <c r="T8" s="302"/>
      <c r="U8" s="296"/>
      <c r="V8" s="296"/>
      <c r="W8" s="296"/>
      <c r="X8" s="296"/>
      <c r="Y8" s="296"/>
    </row>
    <row r="9" spans="1:25" x14ac:dyDescent="0.25">
      <c r="A9" s="308">
        <v>2</v>
      </c>
      <c r="B9" s="299" t="s">
        <v>74</v>
      </c>
      <c r="C9" s="315">
        <v>0.47599999999999998</v>
      </c>
      <c r="D9" s="316">
        <f t="shared" si="0"/>
        <v>20.695652173913043</v>
      </c>
      <c r="E9" s="309">
        <v>21.478260869565219</v>
      </c>
      <c r="F9" s="300">
        <v>1.1723016315402424</v>
      </c>
      <c r="G9" s="300">
        <v>3</v>
      </c>
      <c r="H9" s="299" t="s">
        <v>66</v>
      </c>
      <c r="I9" s="299" t="s">
        <v>1</v>
      </c>
      <c r="J9" s="299" t="s">
        <v>2</v>
      </c>
      <c r="K9" s="308">
        <v>1</v>
      </c>
      <c r="L9" s="299" t="s">
        <v>75</v>
      </c>
      <c r="M9" s="317">
        <v>0.15</v>
      </c>
      <c r="N9" s="317">
        <f t="shared" si="1"/>
        <v>4.7021943573667713</v>
      </c>
      <c r="P9" s="3">
        <f t="shared" si="2"/>
        <v>235.10971786833858</v>
      </c>
      <c r="Q9" s="319"/>
      <c r="R9" s="318"/>
      <c r="S9" s="296"/>
      <c r="T9" s="302"/>
      <c r="U9" s="296"/>
      <c r="V9" s="296"/>
      <c r="W9" s="296"/>
      <c r="X9" s="296"/>
      <c r="Y9" s="296"/>
    </row>
    <row r="10" spans="1:25" x14ac:dyDescent="0.25">
      <c r="A10" s="308">
        <v>2</v>
      </c>
      <c r="B10" s="299" t="s">
        <v>74</v>
      </c>
      <c r="C10" s="315">
        <v>0.52500000000000002</v>
      </c>
      <c r="D10" s="316">
        <f t="shared" si="0"/>
        <v>22.826086956521742</v>
      </c>
      <c r="E10" s="309"/>
      <c r="F10" s="300"/>
      <c r="G10" s="300"/>
      <c r="H10" s="308">
        <v>0</v>
      </c>
      <c r="I10" s="309"/>
      <c r="J10" s="310"/>
      <c r="K10" s="320">
        <v>2</v>
      </c>
      <c r="L10" s="321" t="s">
        <v>74</v>
      </c>
      <c r="M10" s="322">
        <v>9.6000000000000002E-2</v>
      </c>
      <c r="N10" s="322">
        <f t="shared" si="1"/>
        <v>3.0094043887147337</v>
      </c>
      <c r="O10" s="312">
        <f>AVERAGE(N10:N12)</f>
        <v>3.7408568443051209</v>
      </c>
      <c r="P10" s="3">
        <f t="shared" si="2"/>
        <v>150.47021943573668</v>
      </c>
      <c r="Q10" s="319">
        <f>STDEVA(N10:N12)</f>
        <v>0.77063298087741994</v>
      </c>
      <c r="R10" s="318">
        <f>Q10/1.73</f>
        <v>0.44545259010255489</v>
      </c>
      <c r="S10" s="296"/>
      <c r="T10" s="302"/>
      <c r="U10" s="296"/>
      <c r="V10" s="296"/>
      <c r="W10" s="296"/>
      <c r="X10" s="296"/>
      <c r="Y10" s="302"/>
    </row>
    <row r="11" spans="1:25" x14ac:dyDescent="0.25">
      <c r="A11" s="308">
        <v>2</v>
      </c>
      <c r="B11" s="299" t="s">
        <v>74</v>
      </c>
      <c r="C11" s="315">
        <v>0.48099999999999998</v>
      </c>
      <c r="D11" s="316">
        <f t="shared" si="0"/>
        <v>20.913043478260871</v>
      </c>
      <c r="E11" s="309"/>
      <c r="F11" s="300"/>
      <c r="G11" s="300"/>
      <c r="H11" s="308">
        <v>2</v>
      </c>
      <c r="I11" s="309"/>
      <c r="J11" s="314"/>
      <c r="K11" s="320">
        <v>2</v>
      </c>
      <c r="L11" s="321" t="s">
        <v>74</v>
      </c>
      <c r="M11" s="322">
        <v>0.11700000000000001</v>
      </c>
      <c r="N11" s="322">
        <f t="shared" si="1"/>
        <v>3.6677115987460818</v>
      </c>
      <c r="P11" s="3">
        <f t="shared" si="2"/>
        <v>183.3855799373041</v>
      </c>
      <c r="Q11" s="319"/>
      <c r="R11" s="318"/>
      <c r="S11" s="296"/>
      <c r="T11" s="302"/>
      <c r="U11" s="296"/>
      <c r="V11" s="296"/>
      <c r="W11" s="296"/>
      <c r="X11" s="296"/>
      <c r="Y11" s="302"/>
    </row>
    <row r="12" spans="1:25" x14ac:dyDescent="0.25">
      <c r="A12" s="323">
        <v>2</v>
      </c>
      <c r="B12" s="324" t="s">
        <v>75</v>
      </c>
      <c r="C12" s="325">
        <v>0.50600000000000001</v>
      </c>
      <c r="D12" s="326">
        <f t="shared" si="0"/>
        <v>22</v>
      </c>
      <c r="E12" s="314">
        <v>21.681159420289855</v>
      </c>
      <c r="F12" s="300">
        <v>1.3758196273977759</v>
      </c>
      <c r="G12" s="300">
        <v>3</v>
      </c>
      <c r="H12" s="300"/>
      <c r="I12" s="300"/>
      <c r="J12" s="300"/>
      <c r="K12" s="320">
        <v>2</v>
      </c>
      <c r="L12" s="321" t="s">
        <v>74</v>
      </c>
      <c r="M12" s="322">
        <v>0.14499999999999999</v>
      </c>
      <c r="N12" s="322">
        <f t="shared" si="1"/>
        <v>4.5454545454545459</v>
      </c>
      <c r="P12" s="3">
        <f t="shared" si="2"/>
        <v>227.27272727272728</v>
      </c>
      <c r="Q12" s="319"/>
      <c r="R12" s="318"/>
      <c r="S12" s="296"/>
      <c r="T12" s="302"/>
      <c r="U12" s="296"/>
      <c r="V12" s="302"/>
      <c r="W12" s="302"/>
      <c r="X12" s="296"/>
      <c r="Y12" s="302"/>
    </row>
    <row r="13" spans="1:25" x14ac:dyDescent="0.25">
      <c r="A13" s="323">
        <v>2</v>
      </c>
      <c r="B13" s="324" t="s">
        <v>75</v>
      </c>
      <c r="C13" s="325">
        <v>0.52600000000000002</v>
      </c>
      <c r="D13" s="326">
        <f t="shared" si="0"/>
        <v>22.869565217391305</v>
      </c>
      <c r="E13" s="314"/>
      <c r="F13" s="300"/>
      <c r="G13" s="300"/>
      <c r="H13" s="300"/>
      <c r="I13" s="300"/>
      <c r="J13" s="300"/>
      <c r="K13" s="308">
        <v>2</v>
      </c>
      <c r="L13" s="299" t="s">
        <v>75</v>
      </c>
      <c r="M13" s="317">
        <v>0.123</v>
      </c>
      <c r="N13" s="317">
        <f t="shared" si="1"/>
        <v>3.8557993730407527</v>
      </c>
      <c r="O13" s="312">
        <f>AVERAGE(N13:N15)</f>
        <v>4.1588296760710568</v>
      </c>
      <c r="P13" s="3">
        <f t="shared" si="2"/>
        <v>192.78996865203763</v>
      </c>
      <c r="Q13" s="319">
        <f>STDEVA(N13:N15)</f>
        <v>0.26289959509736965</v>
      </c>
      <c r="R13" s="318">
        <f>Q13/1.73</f>
        <v>0.15196508387131194</v>
      </c>
      <c r="S13" s="296"/>
      <c r="T13" s="302"/>
      <c r="U13" s="296"/>
      <c r="V13" s="302"/>
      <c r="W13" s="302"/>
      <c r="X13" s="296"/>
      <c r="Y13" s="302"/>
    </row>
    <row r="14" spans="1:25" x14ac:dyDescent="0.25">
      <c r="A14" s="323">
        <v>2</v>
      </c>
      <c r="B14" s="324" t="s">
        <v>75</v>
      </c>
      <c r="C14" s="325">
        <v>0.46400000000000002</v>
      </c>
      <c r="D14" s="326">
        <f t="shared" si="0"/>
        <v>20.173913043478262</v>
      </c>
      <c r="E14" s="314"/>
      <c r="F14" s="300"/>
      <c r="G14" s="300"/>
      <c r="H14" s="300"/>
      <c r="I14" s="300"/>
      <c r="J14" s="300"/>
      <c r="K14" s="308">
        <v>2</v>
      </c>
      <c r="L14" s="299" t="s">
        <v>75</v>
      </c>
      <c r="M14" s="317">
        <v>0.13800000000000001</v>
      </c>
      <c r="N14" s="317">
        <f t="shared" si="1"/>
        <v>4.3260188087774303</v>
      </c>
      <c r="P14" s="3">
        <f t="shared" si="2"/>
        <v>216.30094043887152</v>
      </c>
      <c r="Q14" s="319"/>
      <c r="R14" s="318"/>
      <c r="S14" s="296"/>
      <c r="T14" s="302"/>
      <c r="U14" s="296"/>
      <c r="V14" s="302"/>
      <c r="W14" s="302"/>
      <c r="X14" s="296"/>
      <c r="Y14" s="302"/>
    </row>
    <row r="15" spans="1:25" x14ac:dyDescent="0.25">
      <c r="A15" s="308">
        <v>0</v>
      </c>
      <c r="B15" s="299" t="s">
        <v>74</v>
      </c>
      <c r="C15" s="315">
        <v>0.48199999999999998</v>
      </c>
      <c r="D15" s="316">
        <f t="shared" si="0"/>
        <v>20.956521739130434</v>
      </c>
      <c r="E15" s="309">
        <v>22</v>
      </c>
      <c r="F15" s="300">
        <f>STDEVA(D15:D16)</f>
        <v>1.475701108563231</v>
      </c>
      <c r="G15" s="300">
        <v>3</v>
      </c>
      <c r="H15" s="300"/>
      <c r="I15" s="300"/>
      <c r="J15" s="300"/>
      <c r="K15" s="308">
        <v>2</v>
      </c>
      <c r="L15" s="299" t="s">
        <v>75</v>
      </c>
      <c r="M15" s="317">
        <v>0.13700000000000001</v>
      </c>
      <c r="N15" s="317">
        <f t="shared" si="1"/>
        <v>4.2946708463949852</v>
      </c>
      <c r="P15" s="3">
        <f t="shared" si="2"/>
        <v>214.73354231974926</v>
      </c>
      <c r="Q15" s="319"/>
      <c r="R15" s="318"/>
      <c r="S15" s="296"/>
      <c r="T15" s="302"/>
      <c r="U15" s="296"/>
      <c r="V15" s="302"/>
      <c r="W15" s="302"/>
      <c r="X15" s="296"/>
      <c r="Y15" s="302"/>
    </row>
    <row r="16" spans="1:25" x14ac:dyDescent="0.25">
      <c r="A16" s="308">
        <v>0</v>
      </c>
      <c r="B16" s="299" t="s">
        <v>74</v>
      </c>
      <c r="C16" s="315">
        <v>0.53</v>
      </c>
      <c r="D16" s="316">
        <f t="shared" si="0"/>
        <v>23.043478260869566</v>
      </c>
      <c r="E16" s="309"/>
      <c r="F16" s="300"/>
      <c r="G16" s="300"/>
      <c r="H16" s="300"/>
      <c r="I16" s="300"/>
      <c r="J16" s="300"/>
      <c r="K16" s="323">
        <v>0</v>
      </c>
      <c r="L16" s="324" t="s">
        <v>74</v>
      </c>
      <c r="M16" s="327">
        <v>0.13700000000000001</v>
      </c>
      <c r="N16" s="327">
        <f t="shared" si="1"/>
        <v>4.2946708463949852</v>
      </c>
      <c r="O16" s="312">
        <f>AVERAGE(N16:N18)</f>
        <v>4.608150470219436</v>
      </c>
      <c r="P16" s="3">
        <f t="shared" si="2"/>
        <v>214.73354231974926</v>
      </c>
      <c r="Q16" s="319">
        <f>STDEVA(N16:N18)</f>
        <v>0.79983390734627124</v>
      </c>
      <c r="R16" s="318">
        <f>Q16/1.41</f>
        <v>0.56725809031650443</v>
      </c>
      <c r="S16" s="296"/>
      <c r="T16" s="302"/>
      <c r="U16" s="296"/>
      <c r="V16" s="302"/>
      <c r="W16" s="302"/>
      <c r="X16" s="296"/>
      <c r="Y16" s="302"/>
    </row>
    <row r="17" spans="1:25" x14ac:dyDescent="0.25">
      <c r="A17" s="328">
        <v>0</v>
      </c>
      <c r="B17" s="329" t="s">
        <v>75</v>
      </c>
      <c r="C17" s="330">
        <v>0.45200000000000001</v>
      </c>
      <c r="D17" s="331">
        <f t="shared" si="0"/>
        <v>19.65217391304348</v>
      </c>
      <c r="E17" s="310">
        <v>20.579710144927535</v>
      </c>
      <c r="F17" s="300">
        <v>1.2490702276182755</v>
      </c>
      <c r="G17" s="300">
        <v>3</v>
      </c>
      <c r="H17" s="300"/>
      <c r="I17" s="300"/>
      <c r="J17" s="300"/>
      <c r="K17" s="323">
        <v>0</v>
      </c>
      <c r="L17" s="324" t="s">
        <v>74</v>
      </c>
      <c r="M17" s="327">
        <v>0.128</v>
      </c>
      <c r="N17" s="327">
        <f t="shared" si="1"/>
        <v>4.0125391849529786</v>
      </c>
      <c r="P17" s="3">
        <f t="shared" si="2"/>
        <v>200.62695924764893</v>
      </c>
      <c r="Q17" s="319"/>
      <c r="R17" s="318"/>
      <c r="S17" s="296"/>
      <c r="T17" s="302"/>
      <c r="U17" s="296"/>
      <c r="V17" s="302"/>
      <c r="W17" s="302"/>
      <c r="X17" s="296"/>
      <c r="Y17" s="302"/>
    </row>
    <row r="18" spans="1:25" x14ac:dyDescent="0.25">
      <c r="A18" s="332">
        <v>0</v>
      </c>
      <c r="B18" s="310" t="s">
        <v>75</v>
      </c>
      <c r="C18" s="330">
        <v>0.46200000000000002</v>
      </c>
      <c r="D18" s="331">
        <f t="shared" si="0"/>
        <v>20.086956521739133</v>
      </c>
      <c r="E18" s="333"/>
      <c r="F18" s="300"/>
      <c r="G18" s="300"/>
      <c r="H18" s="300"/>
      <c r="I18" s="300"/>
      <c r="J18" s="300"/>
      <c r="K18" s="334">
        <v>0</v>
      </c>
      <c r="L18" s="309" t="s">
        <v>75</v>
      </c>
      <c r="M18" s="309">
        <v>0.17599999999999999</v>
      </c>
      <c r="N18" s="317">
        <f t="shared" si="1"/>
        <v>5.5172413793103452</v>
      </c>
      <c r="O18" s="312">
        <f>AVERAGE(N18:N20)</f>
        <v>5.015673981191223</v>
      </c>
      <c r="P18" s="3">
        <f t="shared" si="2"/>
        <v>275.86206896551727</v>
      </c>
      <c r="Q18" s="319">
        <f>STDEVA(N18:N20)</f>
        <v>0.45210674300488896</v>
      </c>
      <c r="R18" s="318">
        <f>Q18/1.73</f>
        <v>0.26133337745947338</v>
      </c>
      <c r="S18" s="296"/>
      <c r="T18" s="302"/>
      <c r="U18" s="296"/>
      <c r="V18" s="302"/>
      <c r="W18" s="302"/>
      <c r="X18" s="296"/>
      <c r="Y18" s="302"/>
    </row>
    <row r="19" spans="1:25" x14ac:dyDescent="0.25">
      <c r="A19" s="328">
        <v>0</v>
      </c>
      <c r="B19" s="310" t="s">
        <v>75</v>
      </c>
      <c r="C19" s="330">
        <v>0.50600000000000001</v>
      </c>
      <c r="D19" s="331">
        <f t="shared" si="0"/>
        <v>22</v>
      </c>
      <c r="E19" s="333"/>
      <c r="F19" s="335"/>
      <c r="G19" s="335"/>
      <c r="H19" s="335"/>
      <c r="I19" s="335"/>
      <c r="J19" s="335"/>
      <c r="K19" s="308">
        <v>0</v>
      </c>
      <c r="L19" s="309" t="s">
        <v>75</v>
      </c>
      <c r="M19" s="317">
        <v>0.14799999999999999</v>
      </c>
      <c r="N19" s="317">
        <f t="shared" si="1"/>
        <v>4.6394984326018811</v>
      </c>
      <c r="P19" s="3">
        <f t="shared" si="2"/>
        <v>231.97492163009406</v>
      </c>
      <c r="Q19" s="319"/>
      <c r="R19" s="318"/>
      <c r="S19" s="296"/>
      <c r="T19" s="302"/>
      <c r="U19" s="296"/>
      <c r="V19" s="302"/>
      <c r="W19" s="302"/>
      <c r="X19" s="296"/>
      <c r="Y19" s="302"/>
    </row>
    <row r="20" spans="1:25" x14ac:dyDescent="0.25">
      <c r="A20" s="336"/>
      <c r="B20" s="335"/>
      <c r="C20" s="337"/>
      <c r="D20" s="300"/>
      <c r="E20" s="335"/>
      <c r="F20" s="300"/>
      <c r="G20" s="300"/>
      <c r="H20" s="300"/>
      <c r="I20" s="300"/>
      <c r="J20" s="300"/>
      <c r="K20" s="308">
        <v>0</v>
      </c>
      <c r="L20" s="309" t="s">
        <v>75</v>
      </c>
      <c r="M20" s="317">
        <v>0.156</v>
      </c>
      <c r="N20" s="317">
        <f t="shared" si="1"/>
        <v>4.8902821316614427</v>
      </c>
      <c r="P20" s="3">
        <f t="shared" si="2"/>
        <v>244.51410658307213</v>
      </c>
      <c r="Q20" s="319"/>
      <c r="R20" s="318"/>
      <c r="S20" s="296"/>
      <c r="T20" s="302"/>
      <c r="U20" s="296"/>
      <c r="V20" s="302"/>
      <c r="W20" s="302"/>
      <c r="X20" s="296"/>
      <c r="Y20" s="302"/>
    </row>
    <row r="21" spans="1:25" x14ac:dyDescent="0.25">
      <c r="A21" s="338"/>
      <c r="B21" s="338"/>
      <c r="C21" s="338"/>
      <c r="D21" s="300"/>
      <c r="E21" s="335"/>
      <c r="F21" s="300"/>
      <c r="G21" s="300"/>
      <c r="H21" s="300"/>
      <c r="I21" s="300"/>
      <c r="J21" s="300"/>
      <c r="Q21" s="319"/>
      <c r="R21" s="318"/>
      <c r="S21" s="296"/>
      <c r="T21" s="302"/>
      <c r="U21" s="296"/>
      <c r="V21" s="302"/>
      <c r="W21" s="302"/>
      <c r="X21" s="296"/>
      <c r="Y21" s="302"/>
    </row>
    <row r="22" spans="1:25" x14ac:dyDescent="0.25">
      <c r="A22" s="296"/>
      <c r="B22" s="296"/>
      <c r="C22" s="338" t="s">
        <v>76</v>
      </c>
      <c r="D22" s="338"/>
      <c r="E22" s="338"/>
      <c r="F22" s="296"/>
      <c r="G22" s="338"/>
      <c r="H22" s="296"/>
      <c r="I22" s="296"/>
      <c r="J22" s="296"/>
      <c r="K22" s="338"/>
      <c r="L22" s="296"/>
      <c r="M22" s="296"/>
    </row>
    <row r="23" spans="1:25" x14ac:dyDescent="0.25">
      <c r="A23" s="338"/>
      <c r="B23" s="296"/>
    </row>
    <row r="24" spans="1:25" ht="100.5" x14ac:dyDescent="0.25">
      <c r="A24" s="338"/>
      <c r="B24" s="296"/>
      <c r="C24" s="339" t="s">
        <v>77</v>
      </c>
      <c r="D24" s="340"/>
      <c r="E24" s="341" t="s">
        <v>68</v>
      </c>
      <c r="F24" s="342" t="s">
        <v>78</v>
      </c>
      <c r="G24" s="340" t="s">
        <v>79</v>
      </c>
      <c r="N24" s="339" t="s">
        <v>22</v>
      </c>
      <c r="O24" s="340"/>
      <c r="P24" s="340"/>
      <c r="Q24" s="340" t="s">
        <v>80</v>
      </c>
      <c r="R24" s="340" t="s">
        <v>81</v>
      </c>
      <c r="S24" s="339" t="s">
        <v>82</v>
      </c>
    </row>
    <row r="25" spans="1:25" x14ac:dyDescent="0.25">
      <c r="A25" s="296"/>
      <c r="B25" s="296"/>
      <c r="C25" s="340" t="s">
        <v>83</v>
      </c>
      <c r="D25" s="339" t="s">
        <v>84</v>
      </c>
      <c r="E25" s="343">
        <v>0.19409999999999999</v>
      </c>
      <c r="F25" s="343">
        <f t="shared" ref="F25:F40" si="3">E25*2</f>
        <v>0.38819999999999999</v>
      </c>
      <c r="G25" s="343">
        <f t="shared" ref="G25:G40" si="4">F25/0.0354</f>
        <v>10.966101694915254</v>
      </c>
      <c r="N25" s="340" t="s">
        <v>83</v>
      </c>
      <c r="O25" s="339" t="s">
        <v>84</v>
      </c>
      <c r="P25" s="339"/>
      <c r="Q25" s="343">
        <v>0.20699999999999999</v>
      </c>
      <c r="R25" s="343">
        <f t="shared" ref="R25:R40" si="5">Q25*2</f>
        <v>0.41399999999999998</v>
      </c>
      <c r="S25" s="343">
        <f t="shared" ref="S25:S40" si="6">R25/0.0354</f>
        <v>11.694915254237287</v>
      </c>
    </row>
    <row r="26" spans="1:25" x14ac:dyDescent="0.25">
      <c r="A26" s="296"/>
      <c r="B26" s="296"/>
      <c r="C26" s="340" t="s">
        <v>85</v>
      </c>
      <c r="D26" s="339" t="s">
        <v>84</v>
      </c>
      <c r="E26" s="343">
        <v>0.20699999999999999</v>
      </c>
      <c r="F26" s="343">
        <f t="shared" si="3"/>
        <v>0.41399999999999998</v>
      </c>
      <c r="G26" s="343">
        <f t="shared" si="4"/>
        <v>11.694915254237287</v>
      </c>
      <c r="N26" s="340" t="s">
        <v>85</v>
      </c>
      <c r="O26" s="339" t="s">
        <v>84</v>
      </c>
      <c r="P26" s="339"/>
      <c r="Q26" s="343">
        <v>9.9000000000000005E-2</v>
      </c>
      <c r="R26" s="343">
        <f t="shared" si="5"/>
        <v>0.19800000000000001</v>
      </c>
      <c r="S26" s="343">
        <f t="shared" si="6"/>
        <v>5.593220338983051</v>
      </c>
    </row>
    <row r="27" spans="1:25" x14ac:dyDescent="0.25">
      <c r="A27" s="338"/>
      <c r="B27" s="296"/>
      <c r="C27" s="340" t="s">
        <v>86</v>
      </c>
      <c r="D27" s="339" t="s">
        <v>84</v>
      </c>
      <c r="E27" s="343">
        <v>0.20499999999999999</v>
      </c>
      <c r="F27" s="343">
        <f t="shared" si="3"/>
        <v>0.41</v>
      </c>
      <c r="G27" s="343">
        <f t="shared" si="4"/>
        <v>11.581920903954801</v>
      </c>
      <c r="N27" s="340" t="s">
        <v>86</v>
      </c>
      <c r="O27" s="339" t="s">
        <v>84</v>
      </c>
      <c r="P27" s="339"/>
      <c r="Q27" s="343">
        <v>0.104</v>
      </c>
      <c r="R27" s="343">
        <f t="shared" si="5"/>
        <v>0.20799999999999999</v>
      </c>
      <c r="S27" s="343">
        <f t="shared" si="6"/>
        <v>5.8757062146892647</v>
      </c>
    </row>
    <row r="28" spans="1:25" x14ac:dyDescent="0.25">
      <c r="A28" s="298"/>
      <c r="B28" s="297"/>
      <c r="C28" s="344" t="s">
        <v>87</v>
      </c>
      <c r="D28" s="339" t="s">
        <v>88</v>
      </c>
      <c r="E28" s="343">
        <v>0.188</v>
      </c>
      <c r="F28" s="345">
        <f t="shared" si="3"/>
        <v>0.376</v>
      </c>
      <c r="G28" s="343">
        <f t="shared" si="4"/>
        <v>10.621468926553671</v>
      </c>
      <c r="H28" s="346"/>
      <c r="I28" s="346"/>
      <c r="J28" s="347" t="s">
        <v>8</v>
      </c>
      <c r="K28" s="346"/>
      <c r="L28" s="346"/>
      <c r="N28" s="344" t="s">
        <v>87</v>
      </c>
      <c r="O28" s="339" t="s">
        <v>88</v>
      </c>
      <c r="P28" s="339"/>
      <c r="Q28" s="343">
        <v>0.13800000000000001</v>
      </c>
      <c r="R28" s="343">
        <f t="shared" si="5"/>
        <v>0.27600000000000002</v>
      </c>
      <c r="S28" s="343">
        <f t="shared" si="6"/>
        <v>7.796610169491526</v>
      </c>
    </row>
    <row r="29" spans="1:25" x14ac:dyDescent="0.25">
      <c r="A29" s="297"/>
      <c r="B29" s="297"/>
      <c r="C29" s="344" t="s">
        <v>89</v>
      </c>
      <c r="D29" s="339" t="s">
        <v>88</v>
      </c>
      <c r="E29" s="345">
        <v>0.23799999999999999</v>
      </c>
      <c r="F29" s="345">
        <f t="shared" si="3"/>
        <v>0.47599999999999998</v>
      </c>
      <c r="G29" s="345">
        <f t="shared" si="4"/>
        <v>13.446327683615818</v>
      </c>
      <c r="H29" s="298"/>
      <c r="I29" s="298" t="s">
        <v>85</v>
      </c>
      <c r="J29" s="298" t="s">
        <v>70</v>
      </c>
      <c r="K29" s="298" t="s">
        <v>90</v>
      </c>
      <c r="L29" s="298" t="s">
        <v>85</v>
      </c>
      <c r="N29" s="344" t="s">
        <v>89</v>
      </c>
      <c r="O29" s="339" t="s">
        <v>88</v>
      </c>
      <c r="P29" s="339"/>
      <c r="Q29" s="343">
        <v>0.129</v>
      </c>
      <c r="R29" s="343">
        <f t="shared" si="5"/>
        <v>0.25800000000000001</v>
      </c>
      <c r="S29" s="343">
        <f t="shared" si="6"/>
        <v>7.2881355932203391</v>
      </c>
    </row>
    <row r="30" spans="1:25" x14ac:dyDescent="0.25">
      <c r="A30" s="298"/>
      <c r="B30" s="297"/>
      <c r="C30" s="340" t="s">
        <v>91</v>
      </c>
      <c r="D30" s="339" t="s">
        <v>88</v>
      </c>
      <c r="E30" s="343">
        <v>0.24099999999999999</v>
      </c>
      <c r="F30" s="343">
        <f t="shared" si="3"/>
        <v>0.48199999999999998</v>
      </c>
      <c r="G30" s="343">
        <f t="shared" si="4"/>
        <v>13.615819209039547</v>
      </c>
      <c r="H30" s="348"/>
      <c r="I30" s="348">
        <v>3</v>
      </c>
      <c r="J30" s="299">
        <v>21.681159420289855</v>
      </c>
      <c r="K30" s="299">
        <v>1.3758196273977759</v>
      </c>
      <c r="L30" s="299">
        <v>3</v>
      </c>
      <c r="N30" s="340" t="s">
        <v>91</v>
      </c>
      <c r="O30" s="339" t="s">
        <v>88</v>
      </c>
      <c r="P30" s="339"/>
      <c r="Q30" s="343">
        <v>0.13200000000000001</v>
      </c>
      <c r="R30" s="343">
        <f t="shared" si="5"/>
        <v>0.26400000000000001</v>
      </c>
      <c r="S30" s="343">
        <f t="shared" si="6"/>
        <v>7.4576271186440684</v>
      </c>
    </row>
    <row r="31" spans="1:25" x14ac:dyDescent="0.25">
      <c r="A31" s="298"/>
      <c r="B31" s="297"/>
      <c r="C31" s="340" t="s">
        <v>92</v>
      </c>
      <c r="D31" s="339" t="s">
        <v>93</v>
      </c>
      <c r="E31" s="349">
        <v>0.223</v>
      </c>
      <c r="F31" s="349">
        <f t="shared" si="3"/>
        <v>0.44600000000000001</v>
      </c>
      <c r="G31" s="349">
        <f t="shared" si="4"/>
        <v>12.598870056497175</v>
      </c>
      <c r="H31" s="299"/>
      <c r="I31" s="299">
        <v>3</v>
      </c>
      <c r="J31" s="299">
        <v>21.478260869565219</v>
      </c>
      <c r="K31" s="299">
        <v>1.1723016315402424</v>
      </c>
      <c r="L31" s="299">
        <v>3</v>
      </c>
      <c r="N31" s="340" t="s">
        <v>92</v>
      </c>
      <c r="O31" s="339" t="s">
        <v>93</v>
      </c>
      <c r="P31" s="339"/>
      <c r="Q31" s="343">
        <v>0.13900000000000001</v>
      </c>
      <c r="R31" s="343">
        <f t="shared" si="5"/>
        <v>0.27800000000000002</v>
      </c>
      <c r="S31" s="343">
        <f t="shared" si="6"/>
        <v>7.853107344632769</v>
      </c>
    </row>
    <row r="32" spans="1:25" x14ac:dyDescent="0.25">
      <c r="A32" s="297"/>
      <c r="B32" s="297"/>
      <c r="C32" s="340" t="s">
        <v>94</v>
      </c>
      <c r="D32" s="339" t="s">
        <v>95</v>
      </c>
      <c r="E32" s="343">
        <v>0.23499999999999999</v>
      </c>
      <c r="F32" s="343">
        <f t="shared" si="3"/>
        <v>0.47</v>
      </c>
      <c r="G32" s="343">
        <f t="shared" si="4"/>
        <v>13.27683615819209</v>
      </c>
      <c r="H32" s="346"/>
      <c r="I32" s="346"/>
      <c r="J32" s="346"/>
      <c r="K32" s="346"/>
      <c r="L32" s="346"/>
      <c r="N32" s="340" t="s">
        <v>94</v>
      </c>
      <c r="O32" s="339" t="s">
        <v>95</v>
      </c>
      <c r="P32" s="339"/>
      <c r="Q32" s="343">
        <v>0.122</v>
      </c>
      <c r="R32" s="343">
        <f t="shared" si="5"/>
        <v>0.24399999999999999</v>
      </c>
      <c r="S32" s="343">
        <f t="shared" si="6"/>
        <v>6.8926553672316384</v>
      </c>
    </row>
    <row r="33" spans="1:19" x14ac:dyDescent="0.25">
      <c r="A33" s="296"/>
      <c r="B33" s="296"/>
      <c r="C33" s="340" t="s">
        <v>96</v>
      </c>
      <c r="D33" s="339" t="s">
        <v>95</v>
      </c>
      <c r="E33" s="343">
        <v>0.23100000000000001</v>
      </c>
      <c r="F33" s="343">
        <f t="shared" si="3"/>
        <v>0.46200000000000002</v>
      </c>
      <c r="G33" s="343">
        <f t="shared" si="4"/>
        <v>13.050847457627119</v>
      </c>
      <c r="N33" s="340" t="s">
        <v>96</v>
      </c>
      <c r="O33" s="339" t="s">
        <v>95</v>
      </c>
      <c r="P33" s="339"/>
      <c r="Q33" s="343">
        <v>0.26700000000000002</v>
      </c>
      <c r="R33" s="343">
        <f t="shared" si="5"/>
        <v>0.53400000000000003</v>
      </c>
      <c r="S33" s="343">
        <f t="shared" si="6"/>
        <v>15.084745762711865</v>
      </c>
    </row>
    <row r="34" spans="1:19" x14ac:dyDescent="0.25">
      <c r="A34" s="298"/>
      <c r="B34" s="297"/>
      <c r="C34" s="344" t="s">
        <v>97</v>
      </c>
      <c r="D34" s="339" t="s">
        <v>98</v>
      </c>
      <c r="E34" s="343">
        <v>0.23100000000000001</v>
      </c>
      <c r="F34" s="345">
        <f t="shared" si="3"/>
        <v>0.46200000000000002</v>
      </c>
      <c r="G34" s="343">
        <f t="shared" si="4"/>
        <v>13.050847457627119</v>
      </c>
      <c r="H34" s="346"/>
      <c r="I34" s="346"/>
      <c r="J34" s="347" t="s">
        <v>8</v>
      </c>
      <c r="K34" s="346"/>
      <c r="L34" s="346"/>
      <c r="N34" s="344" t="s">
        <v>97</v>
      </c>
      <c r="O34" s="339" t="s">
        <v>98</v>
      </c>
      <c r="P34" s="339"/>
      <c r="Q34" s="343">
        <v>0.11899999999999999</v>
      </c>
      <c r="R34" s="343">
        <f t="shared" si="5"/>
        <v>0.23799999999999999</v>
      </c>
      <c r="S34" s="343">
        <f t="shared" si="6"/>
        <v>6.7231638418079092</v>
      </c>
    </row>
    <row r="35" spans="1:19" x14ac:dyDescent="0.25">
      <c r="A35" s="297"/>
      <c r="B35" s="297"/>
      <c r="C35" s="344" t="s">
        <v>99</v>
      </c>
      <c r="D35" s="339" t="s">
        <v>98</v>
      </c>
      <c r="E35" s="345">
        <v>0.19600000000000001</v>
      </c>
      <c r="F35" s="345">
        <f t="shared" si="3"/>
        <v>0.39200000000000002</v>
      </c>
      <c r="G35" s="345">
        <f t="shared" si="4"/>
        <v>11.073446327683616</v>
      </c>
      <c r="H35" s="298"/>
      <c r="I35" s="298" t="s">
        <v>85</v>
      </c>
      <c r="J35" s="298" t="s">
        <v>70</v>
      </c>
      <c r="K35" s="298" t="s">
        <v>90</v>
      </c>
      <c r="L35" s="298" t="s">
        <v>85</v>
      </c>
      <c r="N35" s="344" t="s">
        <v>99</v>
      </c>
      <c r="O35" s="339" t="s">
        <v>98</v>
      </c>
      <c r="P35" s="339"/>
      <c r="Q35" s="343">
        <v>0.109</v>
      </c>
      <c r="R35" s="343">
        <f t="shared" si="5"/>
        <v>0.218</v>
      </c>
      <c r="S35" s="343">
        <f t="shared" si="6"/>
        <v>6.1581920903954801</v>
      </c>
    </row>
    <row r="36" spans="1:19" x14ac:dyDescent="0.25">
      <c r="A36" s="298"/>
      <c r="B36" s="300"/>
      <c r="C36" s="344" t="s">
        <v>100</v>
      </c>
      <c r="D36" s="350" t="s">
        <v>98</v>
      </c>
      <c r="E36" s="349">
        <v>0.29499999999999998</v>
      </c>
      <c r="F36" s="343">
        <f t="shared" si="3"/>
        <v>0.59</v>
      </c>
      <c r="G36" s="343">
        <f t="shared" si="4"/>
        <v>16.666666666666664</v>
      </c>
      <c r="H36" s="296"/>
      <c r="I36" s="296"/>
      <c r="J36" s="296"/>
      <c r="K36" s="296"/>
      <c r="L36" s="296"/>
      <c r="M36" s="296"/>
      <c r="N36" s="344" t="s">
        <v>100</v>
      </c>
      <c r="O36" s="350" t="s">
        <v>98</v>
      </c>
      <c r="P36" s="350"/>
      <c r="Q36" s="343">
        <v>0.311</v>
      </c>
      <c r="R36" s="343">
        <f t="shared" si="5"/>
        <v>0.622</v>
      </c>
      <c r="S36" s="343">
        <f t="shared" si="6"/>
        <v>17.570621468926554</v>
      </c>
    </row>
    <row r="37" spans="1:19" x14ac:dyDescent="0.25">
      <c r="A37" s="298"/>
      <c r="B37" s="300"/>
      <c r="C37" s="344" t="s">
        <v>101</v>
      </c>
      <c r="D37" s="350" t="s">
        <v>102</v>
      </c>
      <c r="E37" s="349">
        <v>0.21199999999999999</v>
      </c>
      <c r="F37" s="343">
        <f t="shared" si="3"/>
        <v>0.42399999999999999</v>
      </c>
      <c r="G37" s="343">
        <f t="shared" si="4"/>
        <v>11.977401129943502</v>
      </c>
      <c r="H37" s="296"/>
      <c r="I37" s="296"/>
      <c r="J37" s="296"/>
      <c r="K37" s="296"/>
      <c r="L37" s="296"/>
      <c r="M37" s="296"/>
      <c r="N37" s="344" t="s">
        <v>101</v>
      </c>
      <c r="O37" s="350" t="s">
        <v>102</v>
      </c>
      <c r="P37" s="350"/>
      <c r="Q37" s="343">
        <v>0.16800000000000001</v>
      </c>
      <c r="R37" s="343">
        <f t="shared" si="5"/>
        <v>0.33600000000000002</v>
      </c>
      <c r="S37" s="343">
        <f t="shared" si="6"/>
        <v>9.4915254237288131</v>
      </c>
    </row>
    <row r="38" spans="1:19" ht="15" customHeight="1" x14ac:dyDescent="0.2">
      <c r="C38" s="340" t="s">
        <v>103</v>
      </c>
      <c r="D38" s="339" t="s">
        <v>102</v>
      </c>
      <c r="E38" s="343">
        <v>0.20899999999999999</v>
      </c>
      <c r="F38" s="343">
        <f t="shared" si="3"/>
        <v>0.41799999999999998</v>
      </c>
      <c r="G38" s="343">
        <f t="shared" si="4"/>
        <v>11.807909604519773</v>
      </c>
      <c r="N38" s="340" t="s">
        <v>103</v>
      </c>
      <c r="O38" s="339" t="s">
        <v>102</v>
      </c>
      <c r="P38" s="339"/>
      <c r="Q38" s="343">
        <v>0.13200000000000001</v>
      </c>
      <c r="R38" s="343">
        <f t="shared" si="5"/>
        <v>0.26400000000000001</v>
      </c>
      <c r="S38" s="343">
        <f t="shared" si="6"/>
        <v>7.4576271186440684</v>
      </c>
    </row>
    <row r="39" spans="1:19" x14ac:dyDescent="0.25">
      <c r="C39" s="346"/>
      <c r="D39" s="340" t="s">
        <v>104</v>
      </c>
      <c r="E39" s="351">
        <v>0.188</v>
      </c>
      <c r="F39" s="343">
        <f t="shared" si="3"/>
        <v>0.376</v>
      </c>
      <c r="G39" s="343">
        <f t="shared" si="4"/>
        <v>10.621468926553671</v>
      </c>
      <c r="N39" s="346"/>
      <c r="O39" s="340" t="s">
        <v>104</v>
      </c>
      <c r="P39" s="340"/>
      <c r="Q39" s="343">
        <v>0.112</v>
      </c>
      <c r="R39" s="343">
        <f t="shared" si="5"/>
        <v>0.224</v>
      </c>
      <c r="S39" s="343">
        <f t="shared" si="6"/>
        <v>6.3276836158192094</v>
      </c>
    </row>
    <row r="40" spans="1:19" x14ac:dyDescent="0.25">
      <c r="C40" s="346"/>
      <c r="D40" s="340" t="s">
        <v>105</v>
      </c>
      <c r="E40" s="343">
        <v>0.24299999999999999</v>
      </c>
      <c r="F40" s="343">
        <f t="shared" si="3"/>
        <v>0.48599999999999999</v>
      </c>
      <c r="G40" s="343">
        <f t="shared" si="4"/>
        <v>13.728813559322033</v>
      </c>
      <c r="N40" s="346"/>
      <c r="O40" s="340" t="s">
        <v>105</v>
      </c>
      <c r="P40" s="340"/>
      <c r="Q40" s="343">
        <v>0.11700000000000001</v>
      </c>
      <c r="R40" s="343">
        <f t="shared" si="5"/>
        <v>0.23400000000000001</v>
      </c>
      <c r="S40" s="343">
        <f t="shared" si="6"/>
        <v>6.6101694915254239</v>
      </c>
    </row>
  </sheetData>
  <mergeCells count="4">
    <mergeCell ref="A2:E2"/>
    <mergeCell ref="H2:J2"/>
    <mergeCell ref="K2:N2"/>
    <mergeCell ref="H8: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/>
  </sheetViews>
  <sheetFormatPr defaultColWidth="12.625" defaultRowHeight="15" customHeight="1" x14ac:dyDescent="0.2"/>
  <cols>
    <col min="1" max="1" width="9.375" customWidth="1"/>
    <col min="2" max="2" width="14.5" customWidth="1"/>
    <col min="3" max="26" width="9.375" customWidth="1"/>
  </cols>
  <sheetData>
    <row r="1" spans="1:13" x14ac:dyDescent="0.25">
      <c r="A1" s="50">
        <v>0.98863636359999996</v>
      </c>
      <c r="B1" s="5">
        <f t="shared" ref="B1:B4" si="0">A1*50</f>
        <v>49.43181818</v>
      </c>
      <c r="C1" s="3">
        <f t="shared" ref="C1:C4" si="1">J11*50</f>
        <v>75</v>
      </c>
      <c r="D1" s="3">
        <v>73.158914750000008</v>
      </c>
      <c r="E1" s="3">
        <v>103.19767440000001</v>
      </c>
      <c r="F1" s="352"/>
      <c r="G1" s="5" t="s">
        <v>5</v>
      </c>
      <c r="H1" s="5" t="s">
        <v>1</v>
      </c>
      <c r="I1" s="5" t="s">
        <v>2</v>
      </c>
      <c r="J1" s="352" t="s">
        <v>3</v>
      </c>
      <c r="K1" s="5" t="s">
        <v>4</v>
      </c>
      <c r="L1" s="352"/>
      <c r="M1" s="352"/>
    </row>
    <row r="2" spans="1:13" x14ac:dyDescent="0.25">
      <c r="A2" s="50">
        <v>1.2045454550000001</v>
      </c>
      <c r="B2" s="5">
        <f t="shared" si="0"/>
        <v>60.227272750000004</v>
      </c>
      <c r="C2" s="3">
        <f t="shared" si="1"/>
        <v>59.090909099999998</v>
      </c>
      <c r="D2" s="3">
        <v>77.519379850000007</v>
      </c>
      <c r="E2" s="3">
        <v>94.9612403</v>
      </c>
      <c r="F2" s="352"/>
      <c r="G2" s="5" t="s">
        <v>12</v>
      </c>
      <c r="H2" s="352"/>
      <c r="I2" s="352"/>
      <c r="J2" s="352"/>
      <c r="K2" s="352"/>
      <c r="L2" s="352"/>
      <c r="M2" s="352"/>
    </row>
    <row r="3" spans="1:13" ht="15.75" x14ac:dyDescent="0.25">
      <c r="A3" s="50">
        <v>1.193181818</v>
      </c>
      <c r="B3" s="5">
        <f t="shared" si="0"/>
        <v>59.659090900000002</v>
      </c>
      <c r="C3" s="3">
        <f t="shared" si="1"/>
        <v>67.045454550000002</v>
      </c>
      <c r="D3" s="3">
        <v>77.519379850000007</v>
      </c>
      <c r="E3" s="3">
        <v>74.612403100000009</v>
      </c>
      <c r="F3" s="352"/>
      <c r="G3" s="353" t="s">
        <v>13</v>
      </c>
      <c r="H3" s="352"/>
      <c r="I3" s="352"/>
      <c r="J3" s="352"/>
      <c r="K3" s="352"/>
      <c r="L3" s="352"/>
      <c r="M3" s="352"/>
    </row>
    <row r="4" spans="1:13" x14ac:dyDescent="0.25">
      <c r="A4" s="50">
        <v>1.2840909089999999</v>
      </c>
      <c r="B4" s="5">
        <f t="shared" si="0"/>
        <v>64.204545449999998</v>
      </c>
      <c r="C4" s="3">
        <f t="shared" si="1"/>
        <v>60.227272750000004</v>
      </c>
      <c r="D4" s="3">
        <v>69.767441849999997</v>
      </c>
      <c r="E4" s="3">
        <v>79.941860450000007</v>
      </c>
      <c r="F4" s="352"/>
      <c r="G4" s="5" t="s">
        <v>14</v>
      </c>
      <c r="H4" s="352"/>
      <c r="I4" s="352"/>
      <c r="J4" s="352"/>
      <c r="K4" s="352"/>
      <c r="L4" s="352"/>
      <c r="M4" s="352"/>
    </row>
    <row r="5" spans="1:13" x14ac:dyDescent="0.25">
      <c r="A5" s="352">
        <f t="shared" ref="A5:E5" si="2">AVERAGE(A1:A4)</f>
        <v>1.1676136364</v>
      </c>
      <c r="B5" s="352">
        <f t="shared" si="2"/>
        <v>58.380681820000007</v>
      </c>
      <c r="C5" s="352">
        <f t="shared" si="2"/>
        <v>65.340909100000005</v>
      </c>
      <c r="D5" s="352">
        <f t="shared" si="2"/>
        <v>74.491279075000008</v>
      </c>
      <c r="E5" s="352">
        <f t="shared" si="2"/>
        <v>88.178294562500014</v>
      </c>
      <c r="F5" s="352"/>
      <c r="G5" s="352"/>
      <c r="H5" s="352"/>
      <c r="I5" s="352"/>
      <c r="J5" s="352"/>
      <c r="K5" s="352"/>
      <c r="L5" s="352"/>
      <c r="M5" s="352"/>
    </row>
    <row r="6" spans="1:13" x14ac:dyDescent="0.25">
      <c r="A6" s="352">
        <f t="shared" ref="A6:E6" si="3">STDEVA(A1:A4)</f>
        <v>0.1259861240331572</v>
      </c>
      <c r="B6" s="352">
        <f t="shared" si="3"/>
        <v>6.2993062016578598</v>
      </c>
      <c r="C6" s="352">
        <f t="shared" si="3"/>
        <v>7.3351957239422001</v>
      </c>
      <c r="D6" s="352">
        <f t="shared" si="3"/>
        <v>3.760701239128136</v>
      </c>
      <c r="E6" s="352">
        <f t="shared" si="3"/>
        <v>13.209370179823743</v>
      </c>
      <c r="F6" s="352"/>
      <c r="G6" s="352"/>
      <c r="H6" s="352"/>
      <c r="I6" s="352"/>
      <c r="J6" s="352"/>
      <c r="K6" s="352"/>
      <c r="L6" s="352"/>
      <c r="M6" s="352"/>
    </row>
    <row r="7" spans="1:13" x14ac:dyDescent="0.25">
      <c r="A7" s="3">
        <f t="shared" ref="A7:E7" si="4">A6/2</f>
        <v>6.2993062016578602E-2</v>
      </c>
      <c r="B7" s="3">
        <f t="shared" si="4"/>
        <v>3.1496531008289299</v>
      </c>
      <c r="C7" s="3">
        <f t="shared" si="4"/>
        <v>3.6675978619711</v>
      </c>
      <c r="D7" s="3">
        <f t="shared" si="4"/>
        <v>1.880350619564068</v>
      </c>
      <c r="E7" s="3">
        <f t="shared" si="4"/>
        <v>6.6046850899118716</v>
      </c>
    </row>
    <row r="9" spans="1:13" ht="15.75" x14ac:dyDescent="0.25">
      <c r="B9" s="354" t="s">
        <v>77</v>
      </c>
      <c r="C9" s="3" t="s">
        <v>22</v>
      </c>
      <c r="D9" s="3" t="s">
        <v>106</v>
      </c>
      <c r="E9" s="3" t="s">
        <v>107</v>
      </c>
    </row>
    <row r="10" spans="1:13" x14ac:dyDescent="0.25">
      <c r="A10" s="2" t="s">
        <v>1</v>
      </c>
      <c r="B10" s="352">
        <v>58.380681820000007</v>
      </c>
      <c r="C10" s="3">
        <v>74.491279075000008</v>
      </c>
      <c r="D10" s="3">
        <v>1.880350619564068</v>
      </c>
      <c r="E10" s="3">
        <v>3.1496531008289299</v>
      </c>
    </row>
    <row r="11" spans="1:13" x14ac:dyDescent="0.25">
      <c r="A11" s="1" t="s">
        <v>2</v>
      </c>
      <c r="B11" s="352">
        <v>65.340909100000005</v>
      </c>
      <c r="C11" s="3">
        <v>88.178294562500014</v>
      </c>
      <c r="D11" s="3">
        <v>6.6046850899118716</v>
      </c>
      <c r="E11" s="3">
        <v>3.6675978619711</v>
      </c>
      <c r="G11" s="40">
        <v>1.4631782950000001</v>
      </c>
      <c r="H11" s="3">
        <f t="shared" ref="H11:H14" si="5">G11*50</f>
        <v>73.158914750000008</v>
      </c>
      <c r="J11" s="50">
        <v>1.5</v>
      </c>
      <c r="K11" s="40">
        <v>2.0639534880000001</v>
      </c>
      <c r="L11" s="3">
        <f t="shared" ref="L11:L14" si="6">K11*50</f>
        <v>103.19767440000001</v>
      </c>
    </row>
    <row r="12" spans="1:13" x14ac:dyDescent="0.25">
      <c r="G12" s="40">
        <v>1.5503875970000001</v>
      </c>
      <c r="H12" s="3">
        <f t="shared" si="5"/>
        <v>77.519379850000007</v>
      </c>
      <c r="J12" s="50">
        <v>1.181818182</v>
      </c>
      <c r="K12" s="40">
        <v>1.8992248060000001</v>
      </c>
      <c r="L12" s="3">
        <f t="shared" si="6"/>
        <v>94.9612403</v>
      </c>
    </row>
    <row r="13" spans="1:13" x14ac:dyDescent="0.25">
      <c r="G13" s="40">
        <v>1.5503875970000001</v>
      </c>
      <c r="H13" s="3">
        <f t="shared" si="5"/>
        <v>77.519379850000007</v>
      </c>
      <c r="J13" s="50">
        <v>1.3409090910000001</v>
      </c>
      <c r="K13" s="40">
        <v>1.492248062</v>
      </c>
      <c r="L13" s="3">
        <f t="shared" si="6"/>
        <v>74.612403100000009</v>
      </c>
    </row>
    <row r="14" spans="1:13" x14ac:dyDescent="0.25">
      <c r="G14" s="40">
        <v>1.395348837</v>
      </c>
      <c r="H14" s="3">
        <f t="shared" si="5"/>
        <v>69.767441849999997</v>
      </c>
      <c r="J14" s="50">
        <v>1.2045454550000001</v>
      </c>
      <c r="K14" s="40">
        <v>1.598837209</v>
      </c>
      <c r="L14" s="3">
        <f t="shared" si="6"/>
        <v>79.941860450000007</v>
      </c>
    </row>
    <row r="16" spans="1:13" x14ac:dyDescent="0.25">
      <c r="B16" s="3" t="s">
        <v>0</v>
      </c>
      <c r="E16" s="3" t="s">
        <v>65</v>
      </c>
    </row>
    <row r="17" spans="1:11" x14ac:dyDescent="0.25">
      <c r="B17" s="3" t="s">
        <v>1</v>
      </c>
      <c r="C17" s="3" t="s">
        <v>108</v>
      </c>
      <c r="E17" s="3" t="s">
        <v>1</v>
      </c>
      <c r="F17" s="3" t="s">
        <v>108</v>
      </c>
    </row>
    <row r="18" spans="1:11" x14ac:dyDescent="0.25">
      <c r="B18" s="3">
        <v>49.43181818</v>
      </c>
      <c r="C18" s="3">
        <v>75</v>
      </c>
      <c r="E18" s="3">
        <v>73.158914750000008</v>
      </c>
      <c r="F18" s="3">
        <v>103.19767440000001</v>
      </c>
    </row>
    <row r="19" spans="1:11" x14ac:dyDescent="0.25">
      <c r="B19" s="3">
        <v>60.227272750000004</v>
      </c>
      <c r="C19" s="3">
        <v>59.090909099999998</v>
      </c>
      <c r="E19" s="3">
        <v>77.519379850000007</v>
      </c>
      <c r="F19" s="3">
        <v>94.9612403</v>
      </c>
    </row>
    <row r="20" spans="1:11" x14ac:dyDescent="0.25">
      <c r="B20" s="3">
        <v>59.659090900000002</v>
      </c>
      <c r="C20" s="3">
        <v>67.045454550000002</v>
      </c>
      <c r="E20" s="3">
        <v>77.519379850000007</v>
      </c>
      <c r="F20" s="3">
        <v>74.612403100000009</v>
      </c>
      <c r="J20" s="40">
        <v>2.0639534880000001</v>
      </c>
      <c r="K20" s="3">
        <f t="shared" ref="K20:K23" si="7">J20*50</f>
        <v>103.19767440000001</v>
      </c>
    </row>
    <row r="21" spans="1:11" ht="15.75" customHeight="1" x14ac:dyDescent="0.25">
      <c r="B21" s="3">
        <v>64.204545449999998</v>
      </c>
      <c r="C21" s="3">
        <v>60.227272750000004</v>
      </c>
      <c r="E21" s="3">
        <v>69.767441849999997</v>
      </c>
      <c r="F21" s="3">
        <v>79.941860450000007</v>
      </c>
      <c r="H21" s="50">
        <v>0.98863636359999996</v>
      </c>
      <c r="J21" s="40">
        <v>1.8992248060000001</v>
      </c>
      <c r="K21" s="3">
        <f t="shared" si="7"/>
        <v>94.9612403</v>
      </c>
    </row>
    <row r="22" spans="1:11" ht="15.75" customHeight="1" x14ac:dyDescent="0.25">
      <c r="A22" s="3" t="s">
        <v>109</v>
      </c>
      <c r="B22" s="355">
        <f t="shared" ref="B22:F22" si="8">AVERAGE(B18:B21)</f>
        <v>58.380681820000007</v>
      </c>
      <c r="C22" s="355">
        <f t="shared" si="8"/>
        <v>65.340909100000005</v>
      </c>
      <c r="D22" s="355" t="e">
        <f t="shared" si="8"/>
        <v>#DIV/0!</v>
      </c>
      <c r="E22" s="355">
        <f t="shared" si="8"/>
        <v>74.491279075000008</v>
      </c>
      <c r="F22" s="355">
        <f t="shared" si="8"/>
        <v>88.178294562500014</v>
      </c>
      <c r="H22" s="50">
        <v>1.2045454550000001</v>
      </c>
      <c r="J22" s="40">
        <v>1.492248062</v>
      </c>
      <c r="K22" s="3">
        <f t="shared" si="7"/>
        <v>74.612403100000009</v>
      </c>
    </row>
    <row r="23" spans="1:11" ht="15.75" customHeight="1" x14ac:dyDescent="0.25">
      <c r="A23" s="3" t="s">
        <v>110</v>
      </c>
      <c r="B23" s="3">
        <f t="shared" ref="B23:F23" si="9">STDEVA(B18:B21)</f>
        <v>6.2993062016578598</v>
      </c>
      <c r="C23" s="3">
        <f t="shared" si="9"/>
        <v>7.3351957239422001</v>
      </c>
      <c r="D23" s="3" t="e">
        <f t="shared" si="9"/>
        <v>#DIV/0!</v>
      </c>
      <c r="E23" s="3">
        <f t="shared" si="9"/>
        <v>3.760701239128136</v>
      </c>
      <c r="F23" s="3">
        <f t="shared" si="9"/>
        <v>13.209370179823743</v>
      </c>
      <c r="H23" s="50">
        <v>1.193181818</v>
      </c>
      <c r="J23" s="40">
        <v>1.598837209</v>
      </c>
      <c r="K23" s="3">
        <f t="shared" si="7"/>
        <v>79.941860450000007</v>
      </c>
    </row>
    <row r="24" spans="1:11" ht="15.75" customHeight="1" x14ac:dyDescent="0.25">
      <c r="A24" s="3" t="s">
        <v>111</v>
      </c>
      <c r="B24" s="355">
        <f t="shared" ref="B24:F24" si="10">B23/2</f>
        <v>3.1496531008289299</v>
      </c>
      <c r="C24" s="355">
        <f t="shared" si="10"/>
        <v>3.6675978619711</v>
      </c>
      <c r="D24" s="355" t="e">
        <f t="shared" si="10"/>
        <v>#DIV/0!</v>
      </c>
      <c r="E24" s="355">
        <f t="shared" si="10"/>
        <v>1.880350619564068</v>
      </c>
      <c r="F24" s="355">
        <f t="shared" si="10"/>
        <v>6.6046850899118716</v>
      </c>
      <c r="H24" s="50">
        <v>1.2840909089999999</v>
      </c>
    </row>
    <row r="25" spans="1:11" ht="15.75" customHeight="1" x14ac:dyDescent="0.25">
      <c r="H25" s="50">
        <v>1.113636364</v>
      </c>
    </row>
    <row r="26" spans="1:11" ht="15.75" customHeight="1" x14ac:dyDescent="0.2"/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000"/>
  <sheetViews>
    <sheetView workbookViewId="0"/>
  </sheetViews>
  <sheetFormatPr defaultColWidth="12.625" defaultRowHeight="15" customHeight="1" x14ac:dyDescent="0.2"/>
  <cols>
    <col min="1" max="26" width="9.375" customWidth="1"/>
  </cols>
  <sheetData>
    <row r="2" spans="2:23" x14ac:dyDescent="0.25">
      <c r="J2" s="356"/>
      <c r="K2" s="357"/>
      <c r="L2" s="357" t="s">
        <v>0</v>
      </c>
      <c r="M2" s="357"/>
      <c r="N2" s="358"/>
      <c r="O2" s="359"/>
      <c r="R2" s="43" t="s">
        <v>22</v>
      </c>
    </row>
    <row r="3" spans="2:23" x14ac:dyDescent="0.25">
      <c r="F3" s="3" t="s">
        <v>112</v>
      </c>
      <c r="G3" s="3" t="s">
        <v>113</v>
      </c>
      <c r="J3" s="360" t="s">
        <v>6</v>
      </c>
      <c r="K3" s="361" t="s">
        <v>7</v>
      </c>
      <c r="L3" s="361" t="s">
        <v>8</v>
      </c>
      <c r="M3" s="362" t="s">
        <v>9</v>
      </c>
      <c r="N3" s="362" t="s">
        <v>114</v>
      </c>
      <c r="O3" s="362" t="s">
        <v>115</v>
      </c>
      <c r="R3" s="31" t="s">
        <v>17</v>
      </c>
      <c r="S3" s="32" t="s">
        <v>18</v>
      </c>
      <c r="T3" s="32" t="s">
        <v>19</v>
      </c>
      <c r="U3" s="362" t="s">
        <v>9</v>
      </c>
      <c r="V3" s="362" t="s">
        <v>114</v>
      </c>
      <c r="W3" s="362" t="s">
        <v>115</v>
      </c>
    </row>
    <row r="4" spans="2:23" x14ac:dyDescent="0.25">
      <c r="B4" s="3" t="s">
        <v>116</v>
      </c>
      <c r="F4" s="3" t="s">
        <v>1</v>
      </c>
      <c r="G4" s="3">
        <v>0</v>
      </c>
      <c r="J4" s="363">
        <v>47.159090910000003</v>
      </c>
      <c r="K4" s="364">
        <v>38.06818182</v>
      </c>
      <c r="L4" s="364">
        <v>59.090909099999998</v>
      </c>
      <c r="M4" s="364">
        <v>37.5</v>
      </c>
      <c r="N4" s="364">
        <v>42.045454550000002</v>
      </c>
      <c r="O4" s="365">
        <v>40.909090910000003</v>
      </c>
      <c r="R4" s="14">
        <v>70.251937999999996</v>
      </c>
      <c r="S4" s="14">
        <v>108.04263570000001</v>
      </c>
      <c r="T4" s="14">
        <v>96.414728699999998</v>
      </c>
      <c r="U4" s="14">
        <v>47.480620160000001</v>
      </c>
      <c r="V4" s="14">
        <v>59.593023250000002</v>
      </c>
      <c r="W4" s="14">
        <v>39.728682169999999</v>
      </c>
    </row>
    <row r="5" spans="2:23" x14ac:dyDescent="0.25">
      <c r="B5" s="3" t="s">
        <v>117</v>
      </c>
      <c r="G5" s="3">
        <v>1</v>
      </c>
      <c r="J5" s="363">
        <v>35.227272730000003</v>
      </c>
      <c r="K5" s="364">
        <v>48.295454550000002</v>
      </c>
      <c r="L5" s="364">
        <v>58.522727250000003</v>
      </c>
      <c r="M5" s="364">
        <v>48.863636370000002</v>
      </c>
      <c r="N5" s="364">
        <v>51.13636365</v>
      </c>
      <c r="O5" s="365">
        <v>33.522727279999998</v>
      </c>
      <c r="R5" s="14">
        <v>83.817829450000005</v>
      </c>
      <c r="S5" s="14">
        <v>84.302325600000003</v>
      </c>
      <c r="T5" s="14">
        <v>97.868217049999998</v>
      </c>
      <c r="U5" s="14">
        <v>49.418604649999999</v>
      </c>
      <c r="V5" s="14">
        <v>61.531007750000001</v>
      </c>
      <c r="W5" s="14">
        <v>30.038759689999999</v>
      </c>
    </row>
    <row r="6" spans="2:23" x14ac:dyDescent="0.25">
      <c r="B6" s="3" t="s">
        <v>118</v>
      </c>
      <c r="G6" s="3">
        <v>2</v>
      </c>
      <c r="J6" s="363">
        <v>48.863636370000002</v>
      </c>
      <c r="K6" s="364">
        <v>41.477272730000003</v>
      </c>
      <c r="L6" s="364">
        <v>43.18181818</v>
      </c>
      <c r="M6" s="364">
        <v>20.454545459999999</v>
      </c>
      <c r="N6" s="364">
        <v>40.340909089999997</v>
      </c>
      <c r="O6" s="365">
        <v>39.772727279999998</v>
      </c>
      <c r="R6" s="14">
        <v>80.910852700000007</v>
      </c>
      <c r="S6" s="14">
        <v>94.9612403</v>
      </c>
      <c r="T6" s="14">
        <v>77.519379850000007</v>
      </c>
      <c r="U6" s="14">
        <v>57.170542650000002</v>
      </c>
      <c r="V6" s="14">
        <v>35.368217059999999</v>
      </c>
      <c r="W6" s="14">
        <v>46.027131789999999</v>
      </c>
    </row>
    <row r="7" spans="2:23" x14ac:dyDescent="0.25">
      <c r="F7" s="3" t="s">
        <v>2</v>
      </c>
      <c r="G7" s="3">
        <v>0</v>
      </c>
      <c r="J7" s="366">
        <v>55.681818200000002</v>
      </c>
      <c r="K7" s="367">
        <v>51.704545449999998</v>
      </c>
      <c r="L7" s="367">
        <v>64.204545449999998</v>
      </c>
      <c r="M7" s="364">
        <v>37.5</v>
      </c>
      <c r="N7" s="364">
        <v>40.340909089999997</v>
      </c>
      <c r="O7" s="365">
        <v>39.772727279999998</v>
      </c>
      <c r="R7" s="14">
        <v>87.693798450000003</v>
      </c>
      <c r="S7" s="14">
        <v>83.333333350000004</v>
      </c>
      <c r="T7" s="14">
        <v>84.786821700000004</v>
      </c>
      <c r="U7" s="14">
        <v>67.829457349999998</v>
      </c>
      <c r="V7" s="14">
        <v>38.75968992</v>
      </c>
      <c r="W7" s="14">
        <v>64.437984499999999</v>
      </c>
    </row>
    <row r="8" spans="2:23" x14ac:dyDescent="0.25">
      <c r="G8" s="3">
        <v>1</v>
      </c>
      <c r="I8" s="368" t="s">
        <v>26</v>
      </c>
      <c r="J8" s="369">
        <v>46.732954550000002</v>
      </c>
      <c r="K8" s="370">
        <v>44.886363639999999</v>
      </c>
      <c r="L8" s="370">
        <v>56.25</v>
      </c>
      <c r="M8" s="364">
        <v>36.079545459999999</v>
      </c>
      <c r="N8" s="364">
        <v>43.465909089999997</v>
      </c>
      <c r="O8" s="365">
        <v>38.49431818</v>
      </c>
      <c r="R8" s="14">
        <v>80.668604650000006</v>
      </c>
      <c r="S8" s="14">
        <v>92.659883730000004</v>
      </c>
      <c r="T8" s="14">
        <v>89.147286829999999</v>
      </c>
      <c r="U8" s="14">
        <v>55.474806200000003</v>
      </c>
      <c r="V8" s="14">
        <v>48.812984489999998</v>
      </c>
      <c r="W8" s="14">
        <v>45.058139539999999</v>
      </c>
    </row>
    <row r="9" spans="2:23" x14ac:dyDescent="0.25">
      <c r="G9" s="3">
        <v>2</v>
      </c>
      <c r="I9" s="368" t="s">
        <v>90</v>
      </c>
      <c r="J9" s="369">
        <v>8.5085108779999992</v>
      </c>
      <c r="K9" s="370">
        <v>6.2241199700000003</v>
      </c>
      <c r="L9" s="370">
        <v>9.0790642520000002</v>
      </c>
      <c r="M9" s="364">
        <v>11.71336825</v>
      </c>
      <c r="N9" s="364">
        <v>5.1763827229999997</v>
      </c>
      <c r="O9" s="365">
        <v>3.3574049050000001</v>
      </c>
      <c r="R9" s="14">
        <v>7.4796745250000001</v>
      </c>
      <c r="S9" s="14">
        <v>11.52907366</v>
      </c>
      <c r="T9" s="14">
        <v>9.7141170829999997</v>
      </c>
      <c r="U9" s="14">
        <v>9.2393635219999997</v>
      </c>
      <c r="V9" s="14">
        <v>13.66001286</v>
      </c>
      <c r="W9" s="14">
        <v>14.49715172</v>
      </c>
    </row>
    <row r="10" spans="2:23" x14ac:dyDescent="0.25">
      <c r="I10" s="368" t="s">
        <v>24</v>
      </c>
      <c r="J10" s="369">
        <v>4.2542554389999996</v>
      </c>
      <c r="K10" s="370">
        <v>3.1120599850000001</v>
      </c>
      <c r="L10" s="370">
        <v>4.5395321260000001</v>
      </c>
      <c r="M10" s="367">
        <v>5.8566841270000003</v>
      </c>
      <c r="N10" s="367">
        <v>2.5881913609999998</v>
      </c>
      <c r="O10" s="370">
        <v>1.6787024530000001</v>
      </c>
      <c r="R10" s="14">
        <v>3.739837262</v>
      </c>
      <c r="S10" s="14">
        <v>5.7645368320000001</v>
      </c>
      <c r="T10" s="14">
        <v>4.8570585419999999</v>
      </c>
      <c r="U10" s="14">
        <v>4.6196817609999998</v>
      </c>
      <c r="V10" s="14">
        <v>6.8300064320000002</v>
      </c>
      <c r="W10" s="14">
        <v>7.2485758579999997</v>
      </c>
    </row>
    <row r="11" spans="2:23" ht="14.25" x14ac:dyDescent="0.2">
      <c r="J11" s="371"/>
      <c r="K11" s="371"/>
      <c r="L11" s="371"/>
      <c r="R11" s="1"/>
      <c r="S11" s="1"/>
      <c r="T11" s="1"/>
    </row>
    <row r="12" spans="2:23" x14ac:dyDescent="0.25">
      <c r="D12" s="3" t="s">
        <v>112</v>
      </c>
      <c r="J12" s="1"/>
      <c r="K12" s="1"/>
      <c r="L12" s="1"/>
      <c r="R12" s="1"/>
      <c r="S12" s="1"/>
      <c r="T12" s="1"/>
    </row>
    <row r="13" spans="2:23" x14ac:dyDescent="0.25">
      <c r="D13" s="3" t="s">
        <v>66</v>
      </c>
      <c r="J13" s="372"/>
      <c r="R13" s="1"/>
      <c r="S13" s="1"/>
      <c r="T13" s="1"/>
    </row>
    <row r="14" spans="2:23" x14ac:dyDescent="0.25">
      <c r="D14" s="3" t="s">
        <v>119</v>
      </c>
      <c r="H14" s="556"/>
      <c r="I14" s="557"/>
      <c r="K14" s="558"/>
      <c r="L14" s="557"/>
      <c r="R14" s="1"/>
      <c r="S14" s="1"/>
      <c r="T14" s="1"/>
    </row>
    <row r="15" spans="2:23" x14ac:dyDescent="0.25">
      <c r="D15" s="3" t="s">
        <v>120</v>
      </c>
      <c r="H15" s="368"/>
      <c r="I15" s="368"/>
      <c r="K15" s="373"/>
      <c r="L15" s="373"/>
      <c r="R15" s="1"/>
      <c r="S15" s="1"/>
      <c r="T15" s="1"/>
    </row>
    <row r="16" spans="2:23" x14ac:dyDescent="0.25">
      <c r="D16" s="3" t="s">
        <v>121</v>
      </c>
      <c r="G16" s="368"/>
      <c r="H16" s="368"/>
      <c r="I16" s="368"/>
      <c r="K16" s="374"/>
      <c r="L16" s="374"/>
      <c r="R16" s="14">
        <v>47.480620160000001</v>
      </c>
      <c r="S16" s="14">
        <v>59.593023250000002</v>
      </c>
      <c r="T16" s="14">
        <v>39.728682169999999</v>
      </c>
    </row>
    <row r="17" spans="4:20" x14ac:dyDescent="0.25">
      <c r="G17" s="368"/>
      <c r="H17" s="368"/>
      <c r="I17" s="368"/>
      <c r="K17" s="374"/>
      <c r="L17" s="374"/>
      <c r="R17" s="14">
        <v>49.418604649999999</v>
      </c>
      <c r="S17" s="14">
        <v>61.531007750000001</v>
      </c>
      <c r="T17" s="14">
        <v>30.038759689999999</v>
      </c>
    </row>
    <row r="18" spans="4:20" x14ac:dyDescent="0.25">
      <c r="D18" s="368" t="s">
        <v>122</v>
      </c>
      <c r="G18" s="368"/>
      <c r="H18" s="368"/>
      <c r="I18" s="368"/>
      <c r="K18" s="374"/>
      <c r="L18" s="374"/>
      <c r="R18" s="14">
        <v>57.170542650000002</v>
      </c>
      <c r="S18" s="14">
        <v>35.368217059999999</v>
      </c>
      <c r="T18" s="14">
        <v>46.027131789999999</v>
      </c>
    </row>
    <row r="19" spans="4:20" x14ac:dyDescent="0.25">
      <c r="D19" s="375" t="s">
        <v>1</v>
      </c>
      <c r="E19" s="375" t="s">
        <v>2</v>
      </c>
      <c r="G19" s="368"/>
      <c r="H19" s="368"/>
      <c r="I19" s="368"/>
      <c r="K19" s="374"/>
      <c r="L19" s="374"/>
      <c r="R19" s="14">
        <v>67.829457349999998</v>
      </c>
      <c r="S19" s="14">
        <v>38.75968992</v>
      </c>
      <c r="T19" s="14">
        <v>64.437984499999999</v>
      </c>
    </row>
    <row r="20" spans="4:20" x14ac:dyDescent="0.25">
      <c r="D20" s="376">
        <v>49.431820000000002</v>
      </c>
      <c r="E20" s="376">
        <v>75</v>
      </c>
      <c r="G20" s="368"/>
      <c r="H20" s="368"/>
      <c r="I20" s="368"/>
      <c r="K20" s="374"/>
      <c r="L20" s="374"/>
      <c r="R20" s="14">
        <v>55.474806200000003</v>
      </c>
      <c r="S20" s="14">
        <v>48.812984489999998</v>
      </c>
      <c r="T20" s="14">
        <v>45.058139539999999</v>
      </c>
    </row>
    <row r="21" spans="4:20" ht="15.75" customHeight="1" x14ac:dyDescent="0.25">
      <c r="D21" s="376">
        <v>60.227269999999997</v>
      </c>
      <c r="E21" s="376">
        <v>59.090910000000001</v>
      </c>
      <c r="G21" s="368"/>
      <c r="H21" s="368"/>
      <c r="I21" s="368"/>
      <c r="K21" s="374"/>
      <c r="L21" s="374"/>
      <c r="R21" s="14">
        <v>9.2393635219999997</v>
      </c>
      <c r="S21" s="14">
        <v>13.66001286</v>
      </c>
      <c r="T21" s="14">
        <v>14.49715172</v>
      </c>
    </row>
    <row r="22" spans="4:20" ht="15.75" customHeight="1" x14ac:dyDescent="0.25">
      <c r="D22" s="376">
        <v>59.659089999999999</v>
      </c>
      <c r="E22" s="376">
        <v>67.045460000000006</v>
      </c>
      <c r="G22" s="368"/>
      <c r="H22" s="368"/>
      <c r="I22" s="368"/>
      <c r="K22" s="374"/>
      <c r="L22" s="374"/>
      <c r="R22" s="14">
        <v>4.6196817609999998</v>
      </c>
      <c r="S22" s="14">
        <v>6.8300064320000002</v>
      </c>
      <c r="T22" s="14">
        <v>7.2485758579999997</v>
      </c>
    </row>
    <row r="23" spans="4:20" ht="15.75" customHeight="1" x14ac:dyDescent="0.25">
      <c r="D23" s="376">
        <v>64.204539999999994</v>
      </c>
      <c r="E23" s="376">
        <v>60.227269999999997</v>
      </c>
      <c r="G23" s="368"/>
      <c r="H23" s="368"/>
      <c r="I23" s="368"/>
      <c r="K23" s="374"/>
      <c r="L23" s="374"/>
      <c r="R23" s="1"/>
      <c r="S23" s="1"/>
      <c r="T23" s="1"/>
    </row>
    <row r="24" spans="4:20" ht="15.75" customHeight="1" x14ac:dyDescent="0.25">
      <c r="G24" s="368"/>
      <c r="H24" s="368"/>
      <c r="I24" s="368"/>
      <c r="K24" s="374"/>
      <c r="L24" s="374"/>
    </row>
    <row r="25" spans="4:20" ht="15.75" customHeight="1" x14ac:dyDescent="0.25">
      <c r="G25" s="368"/>
      <c r="H25" s="368"/>
      <c r="I25" s="368"/>
      <c r="K25" s="374"/>
      <c r="L25" s="374"/>
    </row>
    <row r="26" spans="4:20" ht="15.75" customHeight="1" x14ac:dyDescent="0.25">
      <c r="G26" s="368"/>
      <c r="H26" s="368"/>
      <c r="I26" s="368"/>
      <c r="K26" s="374"/>
      <c r="L26" s="374"/>
    </row>
    <row r="27" spans="4:20" ht="15.75" customHeight="1" x14ac:dyDescent="0.25">
      <c r="G27" s="368"/>
      <c r="H27" s="368"/>
      <c r="I27" s="368"/>
      <c r="K27" s="374"/>
      <c r="L27" s="374"/>
    </row>
    <row r="28" spans="4:20" ht="15.75" customHeight="1" x14ac:dyDescent="0.2"/>
    <row r="29" spans="4:20" ht="15.75" customHeight="1" x14ac:dyDescent="0.2"/>
    <row r="30" spans="4:20" ht="15.75" customHeight="1" x14ac:dyDescent="0.2"/>
    <row r="31" spans="4:20" ht="15.75" customHeight="1" x14ac:dyDescent="0.2"/>
    <row r="32" spans="4:2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H14:I14"/>
    <mergeCell ref="K14:L1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000"/>
  <sheetViews>
    <sheetView workbookViewId="0"/>
  </sheetViews>
  <sheetFormatPr defaultColWidth="12.625" defaultRowHeight="15" customHeight="1" x14ac:dyDescent="0.2"/>
  <cols>
    <col min="1" max="1" width="9.375" customWidth="1"/>
    <col min="2" max="2" width="7.625" customWidth="1"/>
    <col min="3" max="26" width="9.375" customWidth="1"/>
  </cols>
  <sheetData>
    <row r="3" spans="2:8" ht="18" x14ac:dyDescent="0.25">
      <c r="B3" s="377" t="s">
        <v>123</v>
      </c>
      <c r="C3" s="377" t="s">
        <v>124</v>
      </c>
      <c r="F3" s="14">
        <v>17.158574139999999</v>
      </c>
      <c r="H3" s="14">
        <v>7.7781745930000001</v>
      </c>
    </row>
    <row r="4" spans="2:8" ht="18" x14ac:dyDescent="0.25">
      <c r="B4" s="378" t="s">
        <v>12</v>
      </c>
      <c r="C4" s="378">
        <v>80.259661609999995</v>
      </c>
      <c r="D4" s="14">
        <v>11.09737945</v>
      </c>
    </row>
    <row r="5" spans="2:8" ht="18" x14ac:dyDescent="0.25">
      <c r="B5" s="378" t="s">
        <v>13</v>
      </c>
      <c r="C5" s="378">
        <v>65.736484739999995</v>
      </c>
      <c r="D5" s="14">
        <v>17.48750926</v>
      </c>
    </row>
    <row r="6" spans="2:8" ht="18" x14ac:dyDescent="0.25">
      <c r="B6" s="378" t="s">
        <v>14</v>
      </c>
      <c r="C6" s="378">
        <v>50.958515310000003</v>
      </c>
      <c r="D6" s="14">
        <v>7.9272845810000003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00"/>
  <sheetViews>
    <sheetView workbookViewId="0"/>
  </sheetViews>
  <sheetFormatPr defaultColWidth="12.625" defaultRowHeight="15" customHeight="1" x14ac:dyDescent="0.2"/>
  <cols>
    <col min="1" max="6" width="9.375" customWidth="1"/>
    <col min="7" max="7" width="11" customWidth="1"/>
    <col min="8" max="26" width="9.375" customWidth="1"/>
  </cols>
  <sheetData>
    <row r="2" spans="2:12" x14ac:dyDescent="0.25">
      <c r="B2" s="379"/>
      <c r="C2" s="379" t="s">
        <v>125</v>
      </c>
      <c r="D2" s="379" t="s">
        <v>126</v>
      </c>
      <c r="E2" s="380" t="s">
        <v>127</v>
      </c>
      <c r="F2" s="381"/>
      <c r="G2" s="381"/>
      <c r="H2" s="381"/>
      <c r="I2" s="381"/>
      <c r="J2" s="381"/>
      <c r="K2" s="379"/>
      <c r="L2" s="379"/>
    </row>
    <row r="3" spans="2:12" x14ac:dyDescent="0.25"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</row>
    <row r="4" spans="2:12" x14ac:dyDescent="0.25">
      <c r="B4" s="379"/>
      <c r="C4" s="379" t="s">
        <v>128</v>
      </c>
      <c r="D4" s="379" t="s">
        <v>129</v>
      </c>
      <c r="E4" s="382" t="s">
        <v>130</v>
      </c>
      <c r="F4" s="379" t="s">
        <v>131</v>
      </c>
      <c r="G4" s="382" t="s">
        <v>132</v>
      </c>
      <c r="H4" s="379" t="s">
        <v>133</v>
      </c>
      <c r="I4" s="382" t="s">
        <v>134</v>
      </c>
      <c r="J4" s="379" t="s">
        <v>135</v>
      </c>
      <c r="K4" s="382" t="s">
        <v>136</v>
      </c>
      <c r="L4" s="379"/>
    </row>
    <row r="5" spans="2:12" x14ac:dyDescent="0.25">
      <c r="B5" s="379" t="s">
        <v>137</v>
      </c>
      <c r="C5" s="383">
        <v>1.0191703059999999</v>
      </c>
      <c r="D5" s="383">
        <v>130</v>
      </c>
      <c r="E5" s="384">
        <v>132.49213979999999</v>
      </c>
      <c r="F5" s="383">
        <v>66</v>
      </c>
      <c r="G5" s="385">
        <v>67.265240199999994</v>
      </c>
      <c r="H5" s="383">
        <v>57</v>
      </c>
      <c r="I5" s="385">
        <v>58.092707449999999</v>
      </c>
      <c r="J5" s="383">
        <v>54</v>
      </c>
      <c r="K5" s="385">
        <v>55.03519653</v>
      </c>
      <c r="L5" s="379"/>
    </row>
    <row r="6" spans="2:12" x14ac:dyDescent="0.25">
      <c r="B6" s="379" t="s">
        <v>64</v>
      </c>
      <c r="C6" s="383">
        <v>1.0191703059999999</v>
      </c>
      <c r="D6" s="383">
        <v>59</v>
      </c>
      <c r="E6" s="384">
        <v>60.131048059999998</v>
      </c>
      <c r="F6" s="383">
        <v>62</v>
      </c>
      <c r="G6" s="385">
        <v>63.188558980000003</v>
      </c>
      <c r="H6" s="383">
        <v>99</v>
      </c>
      <c r="I6" s="385">
        <v>100.8978603</v>
      </c>
      <c r="J6" s="383">
        <v>27</v>
      </c>
      <c r="K6" s="385">
        <v>27.517598270000001</v>
      </c>
      <c r="L6" s="379"/>
    </row>
    <row r="7" spans="2:12" x14ac:dyDescent="0.25">
      <c r="B7" s="379" t="s">
        <v>138</v>
      </c>
      <c r="C7" s="383">
        <v>1.0191703059999999</v>
      </c>
      <c r="D7" s="383">
        <v>95</v>
      </c>
      <c r="E7" s="384">
        <v>96.821179079999993</v>
      </c>
      <c r="F7" s="383">
        <v>110</v>
      </c>
      <c r="G7" s="385">
        <v>112.1087337</v>
      </c>
      <c r="H7" s="383">
        <v>82</v>
      </c>
      <c r="I7" s="385">
        <v>83.5719651</v>
      </c>
      <c r="J7" s="383">
        <v>60</v>
      </c>
      <c r="K7" s="385">
        <v>61.150218369999997</v>
      </c>
      <c r="L7" s="379"/>
    </row>
    <row r="8" spans="2:12" x14ac:dyDescent="0.25">
      <c r="B8" s="379" t="s">
        <v>139</v>
      </c>
      <c r="C8" s="383">
        <v>1.0191703059999999</v>
      </c>
      <c r="D8" s="383">
        <v>89</v>
      </c>
      <c r="E8" s="384">
        <v>90.706157239999996</v>
      </c>
      <c r="F8" s="383">
        <v>77</v>
      </c>
      <c r="G8" s="385">
        <v>78.476113569999995</v>
      </c>
      <c r="H8" s="383">
        <v>20</v>
      </c>
      <c r="I8" s="385">
        <v>20.38340612</v>
      </c>
      <c r="J8" s="383">
        <v>59</v>
      </c>
      <c r="K8" s="385">
        <v>60.131048059999998</v>
      </c>
      <c r="L8" s="379"/>
    </row>
    <row r="9" spans="2:12" x14ac:dyDescent="0.25">
      <c r="B9" s="379" t="s">
        <v>140</v>
      </c>
      <c r="C9" s="383">
        <v>1.0191703059999999</v>
      </c>
      <c r="D9" s="383">
        <v>17</v>
      </c>
      <c r="E9" s="384">
        <v>17.325895200000001</v>
      </c>
      <c r="F9" s="379"/>
      <c r="G9" s="379"/>
      <c r="H9" s="379"/>
      <c r="I9" s="379"/>
      <c r="J9" s="379"/>
      <c r="K9" s="379"/>
      <c r="L9" s="379"/>
    </row>
    <row r="10" spans="2:12" x14ac:dyDescent="0.25">
      <c r="B10" s="379" t="s">
        <v>141</v>
      </c>
      <c r="C10" s="383">
        <v>1.0191703059999999</v>
      </c>
      <c r="D10" s="383">
        <v>47</v>
      </c>
      <c r="E10" s="384">
        <v>47.901004389999997</v>
      </c>
      <c r="F10" s="379"/>
      <c r="G10" s="379"/>
      <c r="H10" s="379"/>
      <c r="I10" s="379"/>
      <c r="J10" s="379"/>
      <c r="K10" s="379"/>
      <c r="L10" s="379"/>
    </row>
    <row r="11" spans="2:12" x14ac:dyDescent="0.25">
      <c r="B11" s="379" t="s">
        <v>142</v>
      </c>
      <c r="C11" s="383">
        <v>1.0191703059999999</v>
      </c>
      <c r="D11" s="383">
        <v>46</v>
      </c>
      <c r="E11" s="384">
        <v>46.881834079999997</v>
      </c>
      <c r="F11" s="379"/>
      <c r="G11" s="379"/>
      <c r="H11" s="379"/>
      <c r="I11" s="379"/>
      <c r="J11" s="379"/>
      <c r="K11" s="379"/>
      <c r="L11" s="379"/>
    </row>
    <row r="12" spans="2:12" x14ac:dyDescent="0.25">
      <c r="B12" s="379" t="s">
        <v>143</v>
      </c>
      <c r="C12" s="383">
        <v>1.0191703059999999</v>
      </c>
      <c r="D12" s="383">
        <v>69</v>
      </c>
      <c r="E12" s="384">
        <v>70.322751120000007</v>
      </c>
      <c r="F12" s="379"/>
      <c r="G12" s="379"/>
      <c r="H12" s="379"/>
      <c r="I12" s="379"/>
      <c r="J12" s="379"/>
      <c r="K12" s="379"/>
      <c r="L12" s="379"/>
    </row>
    <row r="13" spans="2:12" x14ac:dyDescent="0.25">
      <c r="B13" s="379" t="s">
        <v>144</v>
      </c>
      <c r="C13" s="383">
        <v>1.0191703059999999</v>
      </c>
      <c r="D13" s="383">
        <v>105</v>
      </c>
      <c r="E13" s="384">
        <v>107.0128821</v>
      </c>
      <c r="F13" s="379"/>
      <c r="G13" s="379"/>
      <c r="H13" s="379"/>
      <c r="I13" s="379"/>
      <c r="J13" s="379"/>
      <c r="K13" s="379"/>
      <c r="L13" s="379"/>
    </row>
    <row r="14" spans="2:12" x14ac:dyDescent="0.25">
      <c r="B14" s="379" t="s">
        <v>145</v>
      </c>
      <c r="C14" s="383">
        <v>1.0191703059999999</v>
      </c>
      <c r="D14" s="383">
        <v>64</v>
      </c>
      <c r="E14" s="384">
        <v>65.226899590000002</v>
      </c>
      <c r="F14" s="379"/>
      <c r="G14" s="379"/>
      <c r="H14" s="379"/>
      <c r="I14" s="379"/>
      <c r="J14" s="379"/>
      <c r="K14" s="379"/>
      <c r="L14" s="379"/>
    </row>
    <row r="15" spans="2:12" x14ac:dyDescent="0.25">
      <c r="B15" s="379" t="s">
        <v>146</v>
      </c>
      <c r="C15" s="383">
        <v>1.0191703059999999</v>
      </c>
      <c r="D15" s="383">
        <v>79</v>
      </c>
      <c r="E15" s="384">
        <v>80.514454180000001</v>
      </c>
      <c r="F15" s="379"/>
      <c r="G15" s="379"/>
      <c r="H15" s="379"/>
      <c r="I15" s="379"/>
      <c r="J15" s="379"/>
      <c r="K15" s="379"/>
      <c r="L15" s="379"/>
    </row>
    <row r="16" spans="2:12" x14ac:dyDescent="0.25">
      <c r="B16" s="379" t="s">
        <v>147</v>
      </c>
      <c r="C16" s="383">
        <v>1.0191703059999999</v>
      </c>
      <c r="D16" s="383">
        <v>78</v>
      </c>
      <c r="E16" s="384">
        <v>79.495283880000002</v>
      </c>
      <c r="F16" s="379"/>
      <c r="G16" s="379"/>
      <c r="H16" s="379"/>
      <c r="I16" s="379"/>
      <c r="J16" s="379"/>
      <c r="K16" s="379"/>
      <c r="L16" s="379"/>
    </row>
    <row r="17" spans="2:12" x14ac:dyDescent="0.25">
      <c r="B17" s="379" t="s">
        <v>148</v>
      </c>
      <c r="C17" s="383">
        <v>1.0191703059999999</v>
      </c>
      <c r="D17" s="383">
        <v>46</v>
      </c>
      <c r="E17" s="384">
        <v>46.881834079999997</v>
      </c>
      <c r="F17" s="379"/>
      <c r="G17" s="379"/>
      <c r="H17" s="379"/>
      <c r="I17" s="379"/>
      <c r="J17" s="379"/>
      <c r="K17" s="379"/>
      <c r="L17" s="379"/>
    </row>
    <row r="18" spans="2:12" x14ac:dyDescent="0.25">
      <c r="B18" s="379" t="s">
        <v>149</v>
      </c>
      <c r="C18" s="383">
        <v>1.0191703059999999</v>
      </c>
      <c r="D18" s="383">
        <v>128</v>
      </c>
      <c r="E18" s="384">
        <v>130.45379919999999</v>
      </c>
      <c r="F18" s="379"/>
      <c r="G18" s="379"/>
      <c r="H18" s="379"/>
      <c r="I18" s="379"/>
      <c r="J18" s="379"/>
      <c r="K18" s="379"/>
      <c r="L18" s="379"/>
    </row>
    <row r="19" spans="2:12" x14ac:dyDescent="0.25">
      <c r="B19" s="379" t="s">
        <v>150</v>
      </c>
      <c r="C19" s="383">
        <v>1.0191703059999999</v>
      </c>
      <c r="D19" s="383">
        <v>53</v>
      </c>
      <c r="E19" s="384">
        <v>54.016026220000001</v>
      </c>
      <c r="F19" s="379"/>
      <c r="G19" s="379"/>
      <c r="H19" s="379"/>
      <c r="I19" s="379"/>
      <c r="J19" s="379"/>
      <c r="K19" s="379"/>
      <c r="L19" s="379"/>
    </row>
    <row r="20" spans="2:12" x14ac:dyDescent="0.25">
      <c r="B20" s="379" t="s">
        <v>151</v>
      </c>
      <c r="C20" s="383">
        <v>1.0191703059999999</v>
      </c>
      <c r="D20" s="383">
        <v>96</v>
      </c>
      <c r="E20" s="384">
        <v>97.84034939</v>
      </c>
      <c r="F20" s="379"/>
      <c r="G20" s="379"/>
      <c r="H20" s="379"/>
      <c r="I20" s="379"/>
      <c r="J20" s="379"/>
      <c r="K20" s="379"/>
      <c r="L20" s="379"/>
    </row>
    <row r="21" spans="2:12" ht="15.75" customHeight="1" x14ac:dyDescent="0.2"/>
    <row r="22" spans="2:12" ht="15.75" customHeight="1" x14ac:dyDescent="0.2"/>
    <row r="23" spans="2:12" ht="15.75" customHeight="1" x14ac:dyDescent="0.2"/>
    <row r="24" spans="2:12" ht="15.75" customHeight="1" x14ac:dyDescent="0.2"/>
    <row r="25" spans="2:12" ht="15.75" customHeight="1" x14ac:dyDescent="0.2"/>
    <row r="26" spans="2:12" ht="15.75" customHeight="1" x14ac:dyDescent="0.2"/>
    <row r="27" spans="2:12" ht="15.75" customHeight="1" x14ac:dyDescent="0.2"/>
    <row r="28" spans="2:12" ht="15.75" customHeight="1" x14ac:dyDescent="0.2"/>
    <row r="29" spans="2:12" ht="15.75" customHeight="1" x14ac:dyDescent="0.2"/>
    <row r="30" spans="2:12" ht="15.75" customHeight="1" x14ac:dyDescent="0.2"/>
    <row r="31" spans="2:12" ht="15.75" customHeight="1" x14ac:dyDescent="0.2"/>
    <row r="32" spans="2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8"/>
  <sheetViews>
    <sheetView workbookViewId="0"/>
  </sheetViews>
  <sheetFormatPr defaultColWidth="12.625" defaultRowHeight="15" customHeight="1" x14ac:dyDescent="0.2"/>
  <cols>
    <col min="1" max="4" width="9.375" customWidth="1"/>
    <col min="5" max="5" width="11.25" customWidth="1"/>
    <col min="6" max="8" width="9.375" customWidth="1"/>
    <col min="9" max="9" width="11.375" customWidth="1"/>
    <col min="10" max="10" width="9.375" customWidth="1"/>
    <col min="11" max="11" width="5.375" customWidth="1"/>
    <col min="12" max="12" width="3.5" customWidth="1"/>
    <col min="13" max="13" width="4.25" customWidth="1"/>
    <col min="14" max="25" width="9.375" customWidth="1"/>
  </cols>
  <sheetData>
    <row r="1" spans="1:19" x14ac:dyDescent="0.25">
      <c r="N1" s="312"/>
      <c r="O1" s="312"/>
      <c r="Q1" s="386"/>
      <c r="R1" s="386"/>
    </row>
    <row r="2" spans="1:19" ht="15.75" x14ac:dyDescent="0.25">
      <c r="A2" s="387" t="s">
        <v>152</v>
      </c>
      <c r="N2" s="312"/>
      <c r="O2" s="312"/>
      <c r="Q2" s="386"/>
      <c r="R2" s="386"/>
    </row>
    <row r="3" spans="1:19" ht="41.25" customHeight="1" x14ac:dyDescent="0.25">
      <c r="A3" s="559" t="s">
        <v>153</v>
      </c>
      <c r="B3" s="559" t="s">
        <v>154</v>
      </c>
      <c r="C3" s="559" t="s">
        <v>155</v>
      </c>
      <c r="D3" s="559" t="s">
        <v>156</v>
      </c>
      <c r="E3" s="559" t="s">
        <v>157</v>
      </c>
      <c r="F3" s="559" t="s">
        <v>31</v>
      </c>
      <c r="G3" s="559" t="s">
        <v>32</v>
      </c>
      <c r="H3" s="388" t="s">
        <v>158</v>
      </c>
      <c r="I3" s="561" t="s">
        <v>159</v>
      </c>
      <c r="K3" s="389"/>
      <c r="L3" s="390"/>
      <c r="M3" s="390" t="s">
        <v>123</v>
      </c>
      <c r="N3" s="391" t="s">
        <v>160</v>
      </c>
      <c r="O3" s="391" t="s">
        <v>161</v>
      </c>
      <c r="P3" s="390"/>
      <c r="Q3" s="392" t="s">
        <v>162</v>
      </c>
      <c r="R3" s="393" t="s">
        <v>163</v>
      </c>
      <c r="S3" s="389"/>
    </row>
    <row r="4" spans="1:19" x14ac:dyDescent="0.25">
      <c r="A4" s="560"/>
      <c r="B4" s="560"/>
      <c r="C4" s="560"/>
      <c r="D4" s="560"/>
      <c r="E4" s="560"/>
      <c r="F4" s="560"/>
      <c r="G4" s="560"/>
      <c r="H4" s="394" t="s">
        <v>164</v>
      </c>
      <c r="I4" s="560"/>
      <c r="K4" s="395" t="s">
        <v>1</v>
      </c>
      <c r="L4" s="395">
        <v>1</v>
      </c>
      <c r="M4" s="395">
        <v>0</v>
      </c>
      <c r="N4" s="396">
        <v>2.38</v>
      </c>
      <c r="O4" s="396">
        <v>1207.1500000000001</v>
      </c>
      <c r="P4" s="397">
        <f t="shared" ref="P4:P9" si="0">O4-N4</f>
        <v>1204.77</v>
      </c>
      <c r="Q4" s="398">
        <f t="shared" ref="Q4:Q8" si="1">P4/N4</f>
        <v>506.20588235294122</v>
      </c>
      <c r="R4" s="399"/>
      <c r="S4" s="389"/>
    </row>
    <row r="5" spans="1:19" ht="25.5" x14ac:dyDescent="0.25">
      <c r="A5" s="400" t="s">
        <v>165</v>
      </c>
      <c r="B5" s="401" t="s">
        <v>166</v>
      </c>
      <c r="C5" s="401" t="s">
        <v>167</v>
      </c>
      <c r="D5" s="401" t="s">
        <v>168</v>
      </c>
      <c r="E5" s="401" t="s">
        <v>169</v>
      </c>
      <c r="F5" s="401" t="s">
        <v>170</v>
      </c>
      <c r="G5" s="401" t="s">
        <v>171</v>
      </c>
      <c r="H5" s="401" t="s">
        <v>172</v>
      </c>
      <c r="I5" s="401" t="s">
        <v>173</v>
      </c>
      <c r="K5" s="395" t="s">
        <v>1</v>
      </c>
      <c r="L5" s="395">
        <v>2</v>
      </c>
      <c r="M5" s="395">
        <v>0</v>
      </c>
      <c r="N5" s="396">
        <v>7.29</v>
      </c>
      <c r="O5" s="396">
        <v>1222.1400000000001</v>
      </c>
      <c r="P5" s="397">
        <f t="shared" si="0"/>
        <v>1214.8500000000001</v>
      </c>
      <c r="Q5" s="398">
        <f t="shared" si="1"/>
        <v>166.64609053497944</v>
      </c>
      <c r="R5" s="399"/>
      <c r="S5" s="389"/>
    </row>
    <row r="6" spans="1:19" ht="25.5" x14ac:dyDescent="0.25">
      <c r="A6" s="400" t="s">
        <v>174</v>
      </c>
      <c r="B6" s="401" t="s">
        <v>175</v>
      </c>
      <c r="C6" s="401" t="s">
        <v>176</v>
      </c>
      <c r="D6" s="401" t="s">
        <v>177</v>
      </c>
      <c r="E6" s="401" t="s">
        <v>178</v>
      </c>
      <c r="F6" s="401" t="s">
        <v>179</v>
      </c>
      <c r="G6" s="401" t="s">
        <v>179</v>
      </c>
      <c r="H6" s="401" t="s">
        <v>179</v>
      </c>
      <c r="I6" s="401" t="s">
        <v>180</v>
      </c>
      <c r="K6" s="395" t="s">
        <v>1</v>
      </c>
      <c r="L6" s="395">
        <v>3</v>
      </c>
      <c r="M6" s="395">
        <v>0</v>
      </c>
      <c r="N6" s="396">
        <v>3.3</v>
      </c>
      <c r="O6" s="396">
        <v>1093.95</v>
      </c>
      <c r="P6" s="397">
        <f t="shared" si="0"/>
        <v>1090.6500000000001</v>
      </c>
      <c r="Q6" s="398">
        <f t="shared" si="1"/>
        <v>330.50000000000006</v>
      </c>
      <c r="R6" s="399"/>
      <c r="S6" s="389"/>
    </row>
    <row r="7" spans="1:19" ht="25.5" x14ac:dyDescent="0.25">
      <c r="A7" s="400" t="s">
        <v>181</v>
      </c>
      <c r="B7" s="401" t="s">
        <v>182</v>
      </c>
      <c r="C7" s="401" t="s">
        <v>183</v>
      </c>
      <c r="D7" s="401" t="s">
        <v>184</v>
      </c>
      <c r="E7" s="401" t="s">
        <v>185</v>
      </c>
      <c r="F7" s="401" t="s">
        <v>186</v>
      </c>
      <c r="G7" s="401" t="s">
        <v>187</v>
      </c>
      <c r="H7" s="401" t="s">
        <v>188</v>
      </c>
      <c r="I7" s="401" t="s">
        <v>189</v>
      </c>
      <c r="K7" s="395" t="s">
        <v>1</v>
      </c>
      <c r="L7" s="395">
        <v>4</v>
      </c>
      <c r="M7" s="395">
        <v>0</v>
      </c>
      <c r="N7" s="396">
        <v>4.22</v>
      </c>
      <c r="O7" s="396">
        <v>1343.07</v>
      </c>
      <c r="P7" s="397">
        <f t="shared" si="0"/>
        <v>1338.85</v>
      </c>
      <c r="Q7" s="398">
        <f t="shared" si="1"/>
        <v>317.26303317535547</v>
      </c>
      <c r="R7" s="399"/>
      <c r="S7" s="389"/>
    </row>
    <row r="8" spans="1:19" x14ac:dyDescent="0.25">
      <c r="A8" s="400" t="s">
        <v>190</v>
      </c>
      <c r="B8" s="401" t="s">
        <v>191</v>
      </c>
      <c r="C8" s="401" t="s">
        <v>192</v>
      </c>
      <c r="D8" s="401" t="s">
        <v>193</v>
      </c>
      <c r="E8" s="401" t="s">
        <v>194</v>
      </c>
      <c r="F8" s="401" t="s">
        <v>179</v>
      </c>
      <c r="G8" s="401" t="s">
        <v>179</v>
      </c>
      <c r="H8" s="401" t="s">
        <v>179</v>
      </c>
      <c r="I8" s="401" t="s">
        <v>195</v>
      </c>
      <c r="K8" s="389"/>
      <c r="L8" s="389"/>
      <c r="M8" s="389"/>
      <c r="N8" s="402">
        <f t="shared" ref="N8:O8" si="2">AVERAGE(N4:N7)</f>
        <v>4.2974999999999994</v>
      </c>
      <c r="O8" s="402">
        <f t="shared" si="2"/>
        <v>1216.5774999999999</v>
      </c>
      <c r="P8" s="403">
        <f t="shared" si="0"/>
        <v>1212.28</v>
      </c>
      <c r="Q8" s="404">
        <f t="shared" si="1"/>
        <v>282.08958696916812</v>
      </c>
      <c r="R8" s="405">
        <f>((P8*N10)+(N8*P10))/(4.298*4.298)</f>
        <v>70.627815417951979</v>
      </c>
      <c r="S8" s="389"/>
    </row>
    <row r="9" spans="1:19" ht="25.5" x14ac:dyDescent="0.25">
      <c r="A9" s="400" t="s">
        <v>196</v>
      </c>
      <c r="B9" s="401" t="s">
        <v>197</v>
      </c>
      <c r="C9" s="401" t="s">
        <v>198</v>
      </c>
      <c r="D9" s="401" t="s">
        <v>199</v>
      </c>
      <c r="E9" s="401" t="s">
        <v>200</v>
      </c>
      <c r="F9" s="401" t="s">
        <v>201</v>
      </c>
      <c r="G9" s="401" t="s">
        <v>202</v>
      </c>
      <c r="H9" s="401" t="s">
        <v>203</v>
      </c>
      <c r="I9" s="401" t="s">
        <v>204</v>
      </c>
      <c r="K9" s="389"/>
      <c r="L9" s="389"/>
      <c r="M9" s="389"/>
      <c r="N9" s="406">
        <f t="shared" ref="N9:O9" si="3">STDEV(N4:N8)</f>
        <v>1.8461361677839485</v>
      </c>
      <c r="O9" s="406">
        <f t="shared" si="3"/>
        <v>88.257684474214443</v>
      </c>
      <c r="P9" s="403">
        <f t="shared" si="0"/>
        <v>86.41154830643049</v>
      </c>
      <c r="Q9" s="405"/>
      <c r="R9" s="407"/>
      <c r="S9" s="389"/>
    </row>
    <row r="10" spans="1:19" ht="25.5" x14ac:dyDescent="0.25">
      <c r="A10" s="400" t="s">
        <v>205</v>
      </c>
      <c r="B10" s="401" t="s">
        <v>206</v>
      </c>
      <c r="C10" s="401" t="s">
        <v>207</v>
      </c>
      <c r="D10" s="401" t="s">
        <v>208</v>
      </c>
      <c r="E10" s="401" t="s">
        <v>209</v>
      </c>
      <c r="F10" s="401" t="s">
        <v>179</v>
      </c>
      <c r="G10" s="401" t="s">
        <v>179</v>
      </c>
      <c r="H10" s="401" t="s">
        <v>179</v>
      </c>
      <c r="I10" s="401" t="s">
        <v>210</v>
      </c>
      <c r="K10" s="389"/>
      <c r="L10" s="389"/>
      <c r="M10" s="408" t="s">
        <v>111</v>
      </c>
      <c r="N10" s="402">
        <f>N9/2</f>
        <v>0.92306808389197426</v>
      </c>
      <c r="O10" s="402">
        <f>CONFIDENCE(0.05,O9,4)</f>
        <v>86.490941464180082</v>
      </c>
      <c r="P10" s="409">
        <f>P9/2</f>
        <v>43.205774153215245</v>
      </c>
      <c r="Q10" s="405"/>
      <c r="R10" s="407"/>
      <c r="S10" s="389"/>
    </row>
    <row r="11" spans="1:19" x14ac:dyDescent="0.25">
      <c r="K11" s="389"/>
      <c r="L11" s="389"/>
      <c r="M11" s="389"/>
      <c r="N11" s="410"/>
      <c r="O11" s="410"/>
      <c r="P11" s="409"/>
      <c r="Q11" s="405"/>
      <c r="R11" s="407"/>
      <c r="S11" s="389"/>
    </row>
    <row r="12" spans="1:19" x14ac:dyDescent="0.25">
      <c r="K12" s="411" t="s">
        <v>1</v>
      </c>
      <c r="L12" s="411">
        <v>1</v>
      </c>
      <c r="M12" s="411">
        <v>1</v>
      </c>
      <c r="N12" s="412">
        <v>8.61</v>
      </c>
      <c r="O12" s="412">
        <v>1313.44</v>
      </c>
      <c r="P12" s="413">
        <f t="shared" ref="P12:P17" si="4">O12-N12</f>
        <v>1304.8300000000002</v>
      </c>
      <c r="Q12" s="414">
        <f t="shared" ref="Q12:Q16" si="5">P12/N12</f>
        <v>151.54819976771199</v>
      </c>
      <c r="R12" s="415"/>
      <c r="S12" s="411"/>
    </row>
    <row r="13" spans="1:19" ht="15.75" customHeight="1" x14ac:dyDescent="0.25">
      <c r="K13" s="411" t="s">
        <v>1</v>
      </c>
      <c r="L13" s="411">
        <v>2</v>
      </c>
      <c r="M13" s="411">
        <v>1</v>
      </c>
      <c r="N13" s="412">
        <v>6.73</v>
      </c>
      <c r="O13" s="412">
        <v>1371.83</v>
      </c>
      <c r="P13" s="413">
        <f t="shared" si="4"/>
        <v>1365.1</v>
      </c>
      <c r="Q13" s="414">
        <f t="shared" si="5"/>
        <v>202.83803863298661</v>
      </c>
      <c r="R13" s="415"/>
      <c r="S13" s="411"/>
    </row>
    <row r="14" spans="1:19" ht="15.75" customHeight="1" x14ac:dyDescent="0.25">
      <c r="K14" s="411" t="s">
        <v>1</v>
      </c>
      <c r="L14" s="411">
        <v>3</v>
      </c>
      <c r="M14" s="411">
        <v>1</v>
      </c>
      <c r="N14" s="412">
        <v>2.4300000000000002</v>
      </c>
      <c r="O14" s="412">
        <v>1347.44</v>
      </c>
      <c r="P14" s="413">
        <f t="shared" si="4"/>
        <v>1345.01</v>
      </c>
      <c r="Q14" s="414">
        <f t="shared" si="5"/>
        <v>553.50205761316863</v>
      </c>
      <c r="R14" s="415"/>
      <c r="S14" s="411"/>
    </row>
    <row r="15" spans="1:19" ht="15.75" customHeight="1" x14ac:dyDescent="0.25">
      <c r="K15" s="411" t="s">
        <v>1</v>
      </c>
      <c r="L15" s="411">
        <v>4</v>
      </c>
      <c r="M15" s="411">
        <v>1</v>
      </c>
      <c r="N15" s="412">
        <v>2.21</v>
      </c>
      <c r="O15" s="412">
        <v>1129.82</v>
      </c>
      <c r="P15" s="413">
        <f t="shared" si="4"/>
        <v>1127.6099999999999</v>
      </c>
      <c r="Q15" s="414">
        <f t="shared" si="5"/>
        <v>510.23076923076917</v>
      </c>
      <c r="R15" s="415"/>
      <c r="S15" s="411"/>
    </row>
    <row r="16" spans="1:19" ht="15.75" customHeight="1" x14ac:dyDescent="0.25">
      <c r="K16" s="389"/>
      <c r="L16" s="389"/>
      <c r="M16" s="389"/>
      <c r="N16" s="402">
        <f t="shared" ref="N16:O16" si="6">AVERAGE(N12:N15)</f>
        <v>4.9950000000000001</v>
      </c>
      <c r="O16" s="402">
        <f t="shared" si="6"/>
        <v>1290.6324999999999</v>
      </c>
      <c r="P16" s="403">
        <f t="shared" si="4"/>
        <v>1285.6375</v>
      </c>
      <c r="Q16" s="416">
        <f t="shared" si="5"/>
        <v>257.38488488488491</v>
      </c>
      <c r="R16" s="405">
        <f>((P16*N18)+(N16*P18))/24.95</f>
        <v>92.711181837321064</v>
      </c>
      <c r="S16" s="389"/>
    </row>
    <row r="17" spans="1:19" ht="15.75" customHeight="1" x14ac:dyDescent="0.25">
      <c r="K17" s="389"/>
      <c r="L17" s="389"/>
      <c r="M17" s="389"/>
      <c r="N17" s="406">
        <f t="shared" ref="N17:O17" si="7">STDEV(N12:N15)</f>
        <v>3.1840173785120371</v>
      </c>
      <c r="O17" s="406">
        <f t="shared" si="7"/>
        <v>109.84984945369752</v>
      </c>
      <c r="P17" s="403">
        <f t="shared" si="4"/>
        <v>106.66583207518548</v>
      </c>
      <c r="Q17" s="405"/>
      <c r="R17" s="407"/>
      <c r="S17" s="389"/>
    </row>
    <row r="18" spans="1:19" ht="15.75" customHeight="1" x14ac:dyDescent="0.25">
      <c r="K18" s="389"/>
      <c r="L18" s="389"/>
      <c r="M18" s="389"/>
      <c r="N18" s="402">
        <f t="shared" ref="N18:P18" si="8">N17/2</f>
        <v>1.5920086892560186</v>
      </c>
      <c r="O18" s="402">
        <f t="shared" si="8"/>
        <v>54.924924726848758</v>
      </c>
      <c r="P18" s="402">
        <f t="shared" si="8"/>
        <v>53.332916037592739</v>
      </c>
      <c r="Q18" s="405"/>
      <c r="R18" s="407"/>
      <c r="S18" s="389"/>
    </row>
    <row r="19" spans="1:19" ht="15.75" customHeight="1" x14ac:dyDescent="0.25">
      <c r="K19" s="389"/>
      <c r="L19" s="389"/>
      <c r="M19" s="389"/>
      <c r="N19" s="410"/>
      <c r="O19" s="410"/>
      <c r="P19" s="409"/>
      <c r="Q19" s="405"/>
      <c r="R19" s="407"/>
      <c r="S19" s="389"/>
    </row>
    <row r="20" spans="1:19" ht="15.75" customHeight="1" x14ac:dyDescent="0.25">
      <c r="K20" s="411" t="s">
        <v>1</v>
      </c>
      <c r="L20" s="411">
        <v>1</v>
      </c>
      <c r="M20" s="411">
        <v>2</v>
      </c>
      <c r="N20" s="412">
        <v>2.4</v>
      </c>
      <c r="O20" s="412">
        <v>1201.3</v>
      </c>
      <c r="P20" s="413">
        <f t="shared" ref="P20:P26" si="9">O20-N20</f>
        <v>1198.8999999999999</v>
      </c>
      <c r="Q20" s="414">
        <f t="shared" ref="Q20:Q24" si="10">P20/N20</f>
        <v>499.54166666666663</v>
      </c>
      <c r="R20" s="415"/>
      <c r="S20" s="389"/>
    </row>
    <row r="21" spans="1:19" ht="15.75" customHeight="1" x14ac:dyDescent="0.25">
      <c r="K21" s="411" t="s">
        <v>1</v>
      </c>
      <c r="L21" s="411">
        <v>2</v>
      </c>
      <c r="M21" s="411">
        <v>2</v>
      </c>
      <c r="N21" s="412">
        <v>2.12</v>
      </c>
      <c r="O21" s="412">
        <v>1280.06</v>
      </c>
      <c r="P21" s="413">
        <f t="shared" si="9"/>
        <v>1277.94</v>
      </c>
      <c r="Q21" s="414">
        <f t="shared" si="10"/>
        <v>602.80188679245282</v>
      </c>
      <c r="R21" s="415"/>
      <c r="S21" s="389"/>
    </row>
    <row r="22" spans="1:19" ht="15.75" customHeight="1" x14ac:dyDescent="0.25">
      <c r="K22" s="411" t="s">
        <v>1</v>
      </c>
      <c r="L22" s="411">
        <v>3</v>
      </c>
      <c r="M22" s="411">
        <v>2</v>
      </c>
      <c r="N22" s="412">
        <v>2.8</v>
      </c>
      <c r="O22" s="412">
        <v>1266.1500000000001</v>
      </c>
      <c r="P22" s="413">
        <f t="shared" si="9"/>
        <v>1263.3500000000001</v>
      </c>
      <c r="Q22" s="414">
        <f t="shared" si="10"/>
        <v>451.19642857142867</v>
      </c>
      <c r="R22" s="415"/>
      <c r="S22" s="389"/>
    </row>
    <row r="23" spans="1:19" ht="15.75" customHeight="1" x14ac:dyDescent="0.25">
      <c r="K23" s="411" t="s">
        <v>1</v>
      </c>
      <c r="L23" s="411">
        <v>4</v>
      </c>
      <c r="M23" s="411">
        <v>2</v>
      </c>
      <c r="N23" s="412">
        <v>1.97</v>
      </c>
      <c r="O23" s="412">
        <v>1274.79</v>
      </c>
      <c r="P23" s="413">
        <f t="shared" si="9"/>
        <v>1272.82</v>
      </c>
      <c r="Q23" s="414">
        <f t="shared" si="10"/>
        <v>646.10152284263961</v>
      </c>
      <c r="R23" s="415"/>
      <c r="S23" s="389"/>
    </row>
    <row r="24" spans="1:19" ht="15.75" customHeight="1" x14ac:dyDescent="0.25">
      <c r="K24" s="389"/>
      <c r="L24" s="389"/>
      <c r="M24" s="389"/>
      <c r="N24" s="402">
        <f t="shared" ref="N24:O24" si="11">AVERAGE(N20:N23)</f>
        <v>2.3224999999999998</v>
      </c>
      <c r="O24" s="402">
        <f t="shared" si="11"/>
        <v>1255.5749999999998</v>
      </c>
      <c r="P24" s="403">
        <f t="shared" si="9"/>
        <v>1253.2524999999998</v>
      </c>
      <c r="Q24" s="416">
        <f t="shared" si="10"/>
        <v>539.61356297093641</v>
      </c>
      <c r="R24" s="405">
        <f>((P24*N26)+(N24*P26))/(2.323*2.323)</f>
        <v>57.735857969779509</v>
      </c>
      <c r="S24" s="389"/>
    </row>
    <row r="25" spans="1:19" ht="15.75" customHeight="1" x14ac:dyDescent="0.25">
      <c r="K25" s="389"/>
      <c r="L25" s="389"/>
      <c r="M25" s="389"/>
      <c r="N25" s="406">
        <f t="shared" ref="N25:O25" si="12">STDEV(N20:N23)</f>
        <v>0.36481730587606126</v>
      </c>
      <c r="O25" s="406">
        <f t="shared" si="12"/>
        <v>36.634854533171925</v>
      </c>
      <c r="P25" s="403">
        <f t="shared" si="9"/>
        <v>36.270037227295866</v>
      </c>
      <c r="Q25" s="405"/>
      <c r="R25" s="407"/>
      <c r="S25" s="389"/>
    </row>
    <row r="26" spans="1:19" ht="15.75" customHeight="1" x14ac:dyDescent="0.25">
      <c r="K26" s="389"/>
      <c r="L26" s="389"/>
      <c r="M26" s="389"/>
      <c r="N26" s="402">
        <f>N25/2</f>
        <v>0.18240865293803063</v>
      </c>
      <c r="O26" s="402">
        <f>CONFIDENCE(0.05,O25,4)</f>
        <v>35.901497731940445</v>
      </c>
      <c r="P26" s="403">
        <f t="shared" si="9"/>
        <v>35.719089079002416</v>
      </c>
      <c r="Q26" s="405"/>
      <c r="R26" s="407"/>
      <c r="S26" s="389"/>
    </row>
    <row r="27" spans="1:19" ht="15.75" customHeight="1" x14ac:dyDescent="0.25">
      <c r="K27" s="389"/>
      <c r="L27" s="389"/>
      <c r="M27" s="389"/>
      <c r="N27" s="410"/>
      <c r="O27" s="410"/>
      <c r="P27" s="409"/>
      <c r="Q27" s="405"/>
      <c r="R27" s="407"/>
      <c r="S27" s="389"/>
    </row>
    <row r="28" spans="1:19" ht="15.75" customHeight="1" x14ac:dyDescent="0.25">
      <c r="A28" s="411" t="s">
        <v>211</v>
      </c>
      <c r="B28" s="417">
        <v>1</v>
      </c>
      <c r="C28" s="417">
        <v>0</v>
      </c>
      <c r="D28" s="418">
        <v>5.5</v>
      </c>
      <c r="E28" s="418">
        <v>1565.5</v>
      </c>
      <c r="F28" s="419">
        <f t="shared" ref="F28:F29" si="13">E28-D28</f>
        <v>1560</v>
      </c>
      <c r="G28" s="420">
        <f t="shared" ref="G28:G29" si="14">F28/D28</f>
        <v>283.63636363636363</v>
      </c>
      <c r="H28" s="421"/>
      <c r="I28" s="417"/>
      <c r="K28" s="411" t="s">
        <v>211</v>
      </c>
      <c r="L28" s="411">
        <v>1</v>
      </c>
      <c r="M28" s="411">
        <v>0</v>
      </c>
      <c r="N28" s="412">
        <v>5.5</v>
      </c>
      <c r="O28" s="412">
        <v>1565.5</v>
      </c>
      <c r="P28" s="413">
        <f t="shared" ref="P28:P33" si="15">O28-N28</f>
        <v>1560</v>
      </c>
      <c r="Q28" s="414">
        <f t="shared" ref="Q28:Q32" si="16">P28/N28</f>
        <v>283.63636363636363</v>
      </c>
      <c r="R28" s="415"/>
      <c r="S28" s="411"/>
    </row>
    <row r="29" spans="1:19" ht="15.75" customHeight="1" x14ac:dyDescent="0.25">
      <c r="A29" s="422" t="s">
        <v>211</v>
      </c>
      <c r="B29" s="423">
        <v>2</v>
      </c>
      <c r="C29" s="423">
        <v>0</v>
      </c>
      <c r="D29" s="424">
        <v>3.84</v>
      </c>
      <c r="E29" s="424">
        <v>1970</v>
      </c>
      <c r="F29" s="425">
        <f t="shared" si="13"/>
        <v>1966.16</v>
      </c>
      <c r="G29" s="426">
        <f t="shared" si="14"/>
        <v>512.02083333333337</v>
      </c>
      <c r="H29" s="427"/>
      <c r="I29" s="423"/>
      <c r="K29" s="411" t="s">
        <v>211</v>
      </c>
      <c r="L29" s="411">
        <v>2</v>
      </c>
      <c r="M29" s="411">
        <v>0</v>
      </c>
      <c r="N29" s="412">
        <v>3.84</v>
      </c>
      <c r="O29" s="412">
        <v>1970</v>
      </c>
      <c r="P29" s="413">
        <f t="shared" si="15"/>
        <v>1966.16</v>
      </c>
      <c r="Q29" s="414">
        <f t="shared" si="16"/>
        <v>512.02083333333337</v>
      </c>
      <c r="R29" s="415"/>
      <c r="S29" s="411"/>
    </row>
    <row r="30" spans="1:19" ht="15.75" customHeight="1" x14ac:dyDescent="0.25">
      <c r="A30" s="422" t="s">
        <v>211</v>
      </c>
      <c r="B30" s="423">
        <v>3</v>
      </c>
      <c r="C30" s="423">
        <v>0</v>
      </c>
      <c r="D30" s="424">
        <v>4.18</v>
      </c>
      <c r="E30" s="424"/>
      <c r="F30" s="425"/>
      <c r="G30" s="426"/>
      <c r="H30" s="427"/>
      <c r="I30" s="423"/>
      <c r="K30" s="411" t="s">
        <v>211</v>
      </c>
      <c r="L30" s="411">
        <v>3</v>
      </c>
      <c r="M30" s="411">
        <v>0</v>
      </c>
      <c r="N30" s="412">
        <v>4.18</v>
      </c>
      <c r="O30" s="412">
        <v>976.6</v>
      </c>
      <c r="P30" s="413">
        <f t="shared" si="15"/>
        <v>972.42000000000007</v>
      </c>
      <c r="Q30" s="414">
        <f t="shared" si="16"/>
        <v>232.63636363636368</v>
      </c>
      <c r="R30" s="415"/>
      <c r="S30" s="411"/>
    </row>
    <row r="31" spans="1:19" ht="15.75" customHeight="1" x14ac:dyDescent="0.25">
      <c r="A31" s="422" t="s">
        <v>211</v>
      </c>
      <c r="B31" s="423">
        <v>4</v>
      </c>
      <c r="C31" s="423">
        <v>0</v>
      </c>
      <c r="D31" s="424">
        <v>4.7</v>
      </c>
      <c r="E31" s="424">
        <v>1405.3</v>
      </c>
      <c r="F31" s="425">
        <f t="shared" ref="F31:F33" si="17">E31-D31</f>
        <v>1400.6</v>
      </c>
      <c r="G31" s="426">
        <f t="shared" ref="G31:G32" si="18">F31/D31</f>
        <v>297.99999999999994</v>
      </c>
      <c r="H31" s="427"/>
      <c r="I31" s="423"/>
      <c r="K31" s="411" t="s">
        <v>211</v>
      </c>
      <c r="L31" s="411">
        <v>4</v>
      </c>
      <c r="M31" s="411">
        <v>0</v>
      </c>
      <c r="N31" s="412">
        <v>4.7</v>
      </c>
      <c r="O31" s="412">
        <v>1405.3</v>
      </c>
      <c r="P31" s="413">
        <f t="shared" si="15"/>
        <v>1400.6</v>
      </c>
      <c r="Q31" s="414">
        <f t="shared" si="16"/>
        <v>297.99999999999994</v>
      </c>
      <c r="R31" s="415"/>
      <c r="S31" s="411"/>
    </row>
    <row r="32" spans="1:19" ht="15.75" customHeight="1" x14ac:dyDescent="0.25">
      <c r="A32" s="428"/>
      <c r="B32" s="429"/>
      <c r="C32" s="429"/>
      <c r="D32" s="430">
        <f t="shared" ref="D32:E32" si="19">AVERAGE(D28:D31)</f>
        <v>4.5549999999999997</v>
      </c>
      <c r="E32" s="430">
        <f t="shared" si="19"/>
        <v>1646.9333333333334</v>
      </c>
      <c r="F32" s="431">
        <f t="shared" si="17"/>
        <v>1642.3783333333333</v>
      </c>
      <c r="G32" s="432">
        <f t="shared" si="18"/>
        <v>360.56604463959019</v>
      </c>
      <c r="H32" s="433">
        <f>((F32*D34)*(D32*F34))/(4.55*4.55)</f>
        <v>18947.40563631069</v>
      </c>
      <c r="I32" s="429"/>
      <c r="K32" s="389"/>
      <c r="L32" s="389"/>
      <c r="M32" s="389"/>
      <c r="N32" s="402">
        <f t="shared" ref="N32:O32" si="20">AVERAGE(N28:N31)</f>
        <v>4.5549999999999997</v>
      </c>
      <c r="O32" s="402">
        <f t="shared" si="20"/>
        <v>1479.3500000000001</v>
      </c>
      <c r="P32" s="403">
        <f t="shared" si="15"/>
        <v>1474.7950000000001</v>
      </c>
      <c r="Q32" s="416">
        <f t="shared" si="16"/>
        <v>323.77497255762904</v>
      </c>
      <c r="R32" s="405">
        <f>((P32*N34)+(N32*P34))/(4.55*4.55)</f>
        <v>70.852382261769989</v>
      </c>
      <c r="S32" s="389"/>
    </row>
    <row r="33" spans="1:19" ht="15.75" customHeight="1" x14ac:dyDescent="0.25">
      <c r="A33" s="428"/>
      <c r="B33" s="429"/>
      <c r="C33" s="429"/>
      <c r="D33" s="434">
        <f t="shared" ref="D33:E33" si="21">STDEV(D28:D31)</f>
        <v>0.72247260617041142</v>
      </c>
      <c r="E33" s="434">
        <f t="shared" si="21"/>
        <v>291.02416279981463</v>
      </c>
      <c r="F33" s="431">
        <f t="shared" si="17"/>
        <v>290.30169019364422</v>
      </c>
      <c r="G33" s="433"/>
      <c r="H33" s="435"/>
      <c r="I33" s="429"/>
      <c r="K33" s="389"/>
      <c r="L33" s="389"/>
      <c r="M33" s="389"/>
      <c r="N33" s="406">
        <f t="shared" ref="N33:O33" si="22">STDEV(N28:N31)</f>
        <v>0.72247260617041142</v>
      </c>
      <c r="O33" s="406">
        <f t="shared" si="22"/>
        <v>410.85285687214065</v>
      </c>
      <c r="P33" s="403">
        <f t="shared" si="15"/>
        <v>410.13038426597024</v>
      </c>
      <c r="Q33" s="405"/>
      <c r="R33" s="407"/>
      <c r="S33" s="389"/>
    </row>
    <row r="34" spans="1:19" ht="15.75" customHeight="1" x14ac:dyDescent="0.25">
      <c r="A34" s="428"/>
      <c r="B34" s="429"/>
      <c r="C34" s="429"/>
      <c r="D34" s="430">
        <f t="shared" ref="D34:F34" si="23">D33/2</f>
        <v>0.36123630308520571</v>
      </c>
      <c r="E34" s="430">
        <f t="shared" si="23"/>
        <v>145.51208139990732</v>
      </c>
      <c r="F34" s="430">
        <f t="shared" si="23"/>
        <v>145.15084509682211</v>
      </c>
      <c r="G34" s="430"/>
      <c r="H34" s="435"/>
      <c r="I34" s="429"/>
      <c r="K34" s="389"/>
      <c r="L34" s="389"/>
      <c r="M34" s="389"/>
      <c r="N34" s="402">
        <f t="shared" ref="N34:P34" si="24">N33/2</f>
        <v>0.36123630308520571</v>
      </c>
      <c r="O34" s="402">
        <f t="shared" si="24"/>
        <v>205.42642843607032</v>
      </c>
      <c r="P34" s="402">
        <f t="shared" si="24"/>
        <v>205.06519213298512</v>
      </c>
      <c r="Q34" s="402"/>
      <c r="R34" s="407"/>
      <c r="S34" s="389"/>
    </row>
    <row r="35" spans="1:19" ht="15.75" customHeight="1" x14ac:dyDescent="0.25">
      <c r="A35" s="428"/>
      <c r="B35" s="429"/>
      <c r="C35" s="429"/>
      <c r="D35" s="436"/>
      <c r="E35" s="436"/>
      <c r="F35" s="437"/>
      <c r="G35" s="433"/>
      <c r="H35" s="435"/>
      <c r="I35" s="429"/>
      <c r="K35" s="389"/>
      <c r="L35" s="389"/>
      <c r="M35" s="389"/>
      <c r="N35" s="410"/>
      <c r="O35" s="410"/>
      <c r="P35" s="409"/>
      <c r="Q35" s="405"/>
      <c r="R35" s="407"/>
      <c r="S35" s="389"/>
    </row>
    <row r="36" spans="1:19" ht="15.75" customHeight="1" x14ac:dyDescent="0.25">
      <c r="K36" s="411" t="s">
        <v>211</v>
      </c>
      <c r="L36" s="411">
        <v>1</v>
      </c>
      <c r="M36" s="411">
        <v>1</v>
      </c>
      <c r="N36" s="412">
        <v>6.1</v>
      </c>
      <c r="O36" s="412">
        <v>1347.49</v>
      </c>
      <c r="P36" s="413">
        <f t="shared" ref="P36:P41" si="25">O36-N36</f>
        <v>1341.39</v>
      </c>
      <c r="Q36" s="414">
        <f t="shared" ref="Q36:Q40" si="26">P36/N36</f>
        <v>219.90000000000003</v>
      </c>
      <c r="R36" s="415"/>
      <c r="S36" s="389"/>
    </row>
    <row r="37" spans="1:19" ht="15.75" customHeight="1" x14ac:dyDescent="0.25">
      <c r="K37" s="411" t="s">
        <v>211</v>
      </c>
      <c r="L37" s="411">
        <v>2</v>
      </c>
      <c r="M37" s="411">
        <v>1</v>
      </c>
      <c r="N37" s="412">
        <v>2.7</v>
      </c>
      <c r="O37" s="412">
        <v>1340.09</v>
      </c>
      <c r="P37" s="413">
        <f t="shared" si="25"/>
        <v>1337.3899999999999</v>
      </c>
      <c r="Q37" s="414">
        <f t="shared" si="26"/>
        <v>495.32962962962955</v>
      </c>
      <c r="R37" s="415"/>
      <c r="S37" s="389"/>
    </row>
    <row r="38" spans="1:19" ht="15.75" customHeight="1" x14ac:dyDescent="0.25">
      <c r="K38" s="411" t="s">
        <v>211</v>
      </c>
      <c r="L38" s="411">
        <v>3</v>
      </c>
      <c r="M38" s="411">
        <v>1</v>
      </c>
      <c r="N38" s="412">
        <v>1.64</v>
      </c>
      <c r="O38" s="412">
        <v>1229.77</v>
      </c>
      <c r="P38" s="413">
        <f t="shared" si="25"/>
        <v>1228.1299999999999</v>
      </c>
      <c r="Q38" s="414">
        <f t="shared" si="26"/>
        <v>748.85975609756099</v>
      </c>
      <c r="R38" s="415"/>
      <c r="S38" s="389"/>
    </row>
    <row r="39" spans="1:19" ht="15.75" customHeight="1" x14ac:dyDescent="0.25">
      <c r="K39" s="411" t="s">
        <v>211</v>
      </c>
      <c r="L39" s="411">
        <v>4</v>
      </c>
      <c r="M39" s="411">
        <v>1</v>
      </c>
      <c r="N39" s="412">
        <v>3.3</v>
      </c>
      <c r="O39" s="412">
        <v>1411.55</v>
      </c>
      <c r="P39" s="413">
        <f t="shared" si="25"/>
        <v>1408.25</v>
      </c>
      <c r="Q39" s="414">
        <f t="shared" si="26"/>
        <v>426.74242424242425</v>
      </c>
      <c r="R39" s="415"/>
      <c r="S39" s="389"/>
    </row>
    <row r="40" spans="1:19" ht="15.75" customHeight="1" x14ac:dyDescent="0.25">
      <c r="K40" s="389"/>
      <c r="L40" s="389"/>
      <c r="M40" s="389"/>
      <c r="N40" s="402">
        <f t="shared" ref="N40:O40" si="27">AVERAGE(N36:N39)</f>
        <v>3.4350000000000005</v>
      </c>
      <c r="O40" s="402">
        <f t="shared" si="27"/>
        <v>1332.2249999999999</v>
      </c>
      <c r="P40" s="403">
        <f t="shared" si="25"/>
        <v>1328.79</v>
      </c>
      <c r="Q40" s="416">
        <f t="shared" si="26"/>
        <v>386.83842794759818</v>
      </c>
      <c r="R40" s="405">
        <f>((P40*N42)+(N40*P42))/(N40*N40)</f>
        <v>117.95317581196858</v>
      </c>
      <c r="S40" s="389"/>
    </row>
    <row r="41" spans="1:19" ht="15.75" customHeight="1" x14ac:dyDescent="0.25">
      <c r="K41" s="389"/>
      <c r="L41" s="389"/>
      <c r="M41" s="389"/>
      <c r="N41" s="406">
        <f t="shared" ref="N41:O41" si="28">STDEV(N36:N39)</f>
        <v>1.9046171968841035</v>
      </c>
      <c r="O41" s="406">
        <f t="shared" si="28"/>
        <v>75.463812740500543</v>
      </c>
      <c r="P41" s="403">
        <f t="shared" si="25"/>
        <v>73.55919554361644</v>
      </c>
      <c r="Q41" s="405"/>
      <c r="R41" s="407"/>
      <c r="S41" s="389"/>
    </row>
    <row r="42" spans="1:19" ht="15.75" customHeight="1" x14ac:dyDescent="0.25">
      <c r="K42" s="389"/>
      <c r="L42" s="389"/>
      <c r="M42" s="389"/>
      <c r="N42" s="402">
        <f t="shared" ref="N42:P42" si="29">N41/2</f>
        <v>0.95230859844205173</v>
      </c>
      <c r="O42" s="402">
        <f t="shared" si="29"/>
        <v>37.731906370250272</v>
      </c>
      <c r="P42" s="402">
        <f t="shared" si="29"/>
        <v>36.77959777180822</v>
      </c>
      <c r="Q42" s="405"/>
      <c r="R42" s="407"/>
      <c r="S42" s="389"/>
    </row>
    <row r="43" spans="1:19" ht="15.75" customHeight="1" x14ac:dyDescent="0.25">
      <c r="K43" s="389"/>
      <c r="L43" s="389"/>
      <c r="M43" s="389"/>
      <c r="N43" s="410"/>
      <c r="O43" s="410"/>
      <c r="P43" s="409"/>
      <c r="Q43" s="405"/>
      <c r="R43" s="407"/>
      <c r="S43" s="389"/>
    </row>
    <row r="44" spans="1:19" ht="15.75" customHeight="1" x14ac:dyDescent="0.25">
      <c r="K44" s="411" t="s">
        <v>211</v>
      </c>
      <c r="L44" s="411">
        <v>1</v>
      </c>
      <c r="M44" s="411">
        <v>2</v>
      </c>
      <c r="N44" s="412">
        <v>2.2999999999999998</v>
      </c>
      <c r="O44" s="412">
        <v>1313.02</v>
      </c>
      <c r="P44" s="413">
        <f t="shared" ref="P44:P48" si="30">O44-N44</f>
        <v>1310.72</v>
      </c>
      <c r="Q44" s="414">
        <f t="shared" ref="Q44:Q48" si="31">P44/N44</f>
        <v>569.87826086956522</v>
      </c>
      <c r="R44" s="415"/>
      <c r="S44" s="411"/>
    </row>
    <row r="45" spans="1:19" ht="15.75" customHeight="1" x14ac:dyDescent="0.25">
      <c r="K45" s="411" t="s">
        <v>211</v>
      </c>
      <c r="L45" s="411">
        <v>2</v>
      </c>
      <c r="M45" s="411">
        <v>2</v>
      </c>
      <c r="N45" s="412">
        <v>3.97</v>
      </c>
      <c r="O45" s="412">
        <v>1361.88</v>
      </c>
      <c r="P45" s="413">
        <f t="shared" si="30"/>
        <v>1357.91</v>
      </c>
      <c r="Q45" s="414">
        <f t="shared" si="31"/>
        <v>342.04282115869017</v>
      </c>
      <c r="R45" s="415"/>
      <c r="S45" s="411"/>
    </row>
    <row r="46" spans="1:19" ht="15.75" customHeight="1" x14ac:dyDescent="0.25">
      <c r="K46" s="411" t="s">
        <v>211</v>
      </c>
      <c r="L46" s="411">
        <v>3</v>
      </c>
      <c r="M46" s="411">
        <v>2</v>
      </c>
      <c r="N46" s="412">
        <v>6.33</v>
      </c>
      <c r="O46" s="412">
        <v>1263.72</v>
      </c>
      <c r="P46" s="413">
        <f t="shared" si="30"/>
        <v>1257.3900000000001</v>
      </c>
      <c r="Q46" s="414">
        <f t="shared" si="31"/>
        <v>198.63981042654029</v>
      </c>
      <c r="R46" s="415"/>
      <c r="S46" s="411"/>
    </row>
    <row r="47" spans="1:19" ht="15.75" customHeight="1" x14ac:dyDescent="0.25">
      <c r="K47" s="411" t="s">
        <v>211</v>
      </c>
      <c r="L47" s="411">
        <v>4</v>
      </c>
      <c r="M47" s="411">
        <v>2</v>
      </c>
      <c r="N47" s="412">
        <v>3.41</v>
      </c>
      <c r="O47" s="412">
        <v>1253.58</v>
      </c>
      <c r="P47" s="413">
        <f t="shared" si="30"/>
        <v>1250.1699999999998</v>
      </c>
      <c r="Q47" s="414">
        <f t="shared" si="31"/>
        <v>366.6187683284457</v>
      </c>
      <c r="R47" s="415"/>
      <c r="S47" s="411"/>
    </row>
    <row r="48" spans="1:19" ht="15.75" customHeight="1" x14ac:dyDescent="0.25">
      <c r="K48" s="438"/>
      <c r="L48" s="438"/>
      <c r="M48" s="438"/>
      <c r="N48" s="439">
        <f t="shared" ref="N48:O48" si="32">AVERAGE(N44:N47)</f>
        <v>4.0024999999999995</v>
      </c>
      <c r="O48" s="412">
        <f t="shared" si="32"/>
        <v>1298.05</v>
      </c>
      <c r="P48" s="413">
        <f t="shared" si="30"/>
        <v>1294.0474999999999</v>
      </c>
      <c r="Q48" s="416">
        <f t="shared" si="31"/>
        <v>323.30980637101811</v>
      </c>
      <c r="R48" s="414">
        <f>((P48*N50)+(N48*P50))/(N48*N48)</f>
        <v>74.950102769273272</v>
      </c>
      <c r="S48" s="411"/>
    </row>
    <row r="49" spans="11:19" ht="15.75" customHeight="1" x14ac:dyDescent="0.2">
      <c r="K49" s="389"/>
      <c r="L49" s="389"/>
      <c r="M49" s="389"/>
      <c r="N49" s="410">
        <f t="shared" ref="N49:P49" si="33">STDEV(N44:N47)</f>
        <v>1.6997916538995814</v>
      </c>
      <c r="O49" s="410">
        <f t="shared" si="33"/>
        <v>49.848101267751474</v>
      </c>
      <c r="P49" s="410">
        <f t="shared" si="33"/>
        <v>50.416262174685983</v>
      </c>
      <c r="Q49" s="407"/>
      <c r="R49" s="407"/>
      <c r="S49" s="389"/>
    </row>
    <row r="50" spans="11:19" ht="15.75" customHeight="1" x14ac:dyDescent="0.2">
      <c r="K50" s="389"/>
      <c r="L50" s="389"/>
      <c r="M50" s="389"/>
      <c r="N50" s="410">
        <f t="shared" ref="N50:P50" si="34">N49/2</f>
        <v>0.84989582694979071</v>
      </c>
      <c r="O50" s="410">
        <f t="shared" si="34"/>
        <v>24.924050633875737</v>
      </c>
      <c r="P50" s="410">
        <f t="shared" si="34"/>
        <v>25.208131087342991</v>
      </c>
      <c r="Q50" s="407"/>
      <c r="R50" s="407"/>
      <c r="S50" s="389"/>
    </row>
    <row r="51" spans="11:19" ht="15.75" customHeight="1" x14ac:dyDescent="0.25">
      <c r="K51" s="440"/>
      <c r="L51" s="440"/>
      <c r="M51" s="440"/>
      <c r="N51" s="441"/>
      <c r="O51" s="441"/>
      <c r="P51" s="440"/>
      <c r="Q51" s="267"/>
      <c r="R51" s="267"/>
      <c r="S51" s="440"/>
    </row>
    <row r="52" spans="11:19" ht="15.75" customHeight="1" x14ac:dyDescent="0.25">
      <c r="N52" s="312"/>
      <c r="O52" s="312"/>
      <c r="Q52" s="386"/>
      <c r="R52" s="386"/>
    </row>
    <row r="53" spans="11:19" ht="15.75" customHeight="1" x14ac:dyDescent="0.25">
      <c r="N53" s="312"/>
      <c r="O53" s="312"/>
      <c r="Q53" s="386"/>
      <c r="R53" s="386"/>
    </row>
    <row r="54" spans="11:19" ht="15.75" customHeight="1" x14ac:dyDescent="0.25">
      <c r="N54" s="312"/>
      <c r="O54" s="312"/>
      <c r="Q54" s="386"/>
      <c r="R54" s="386"/>
    </row>
    <row r="55" spans="11:19" ht="15.75" customHeight="1" x14ac:dyDescent="0.25">
      <c r="N55" s="312"/>
      <c r="O55" s="312"/>
      <c r="Q55" s="386"/>
      <c r="R55" s="386"/>
    </row>
    <row r="56" spans="11:19" ht="15.75" customHeight="1" x14ac:dyDescent="0.25">
      <c r="N56" s="312"/>
      <c r="O56" s="312"/>
      <c r="Q56" s="386"/>
      <c r="R56" s="386"/>
    </row>
    <row r="57" spans="11:19" ht="15.75" customHeight="1" x14ac:dyDescent="0.25">
      <c r="N57" s="312"/>
      <c r="O57" s="312"/>
      <c r="Q57" s="386"/>
      <c r="R57" s="386"/>
    </row>
    <row r="58" spans="11:19" ht="15.75" customHeight="1" x14ac:dyDescent="0.25">
      <c r="N58" s="312"/>
      <c r="O58" s="312"/>
      <c r="Q58" s="386"/>
      <c r="R58" s="386"/>
    </row>
    <row r="59" spans="11:19" ht="15.75" customHeight="1" x14ac:dyDescent="0.25">
      <c r="N59" s="312"/>
      <c r="O59" s="312"/>
      <c r="Q59" s="386"/>
      <c r="R59" s="386"/>
    </row>
    <row r="60" spans="11:19" ht="15.75" customHeight="1" x14ac:dyDescent="0.25">
      <c r="N60" s="312"/>
      <c r="O60" s="312"/>
      <c r="Q60" s="386"/>
      <c r="R60" s="386"/>
    </row>
    <row r="61" spans="11:19" ht="15.75" customHeight="1" x14ac:dyDescent="0.25">
      <c r="N61" s="312"/>
      <c r="O61" s="312"/>
      <c r="Q61" s="386"/>
      <c r="R61" s="386"/>
    </row>
    <row r="62" spans="11:19" ht="15.75" customHeight="1" x14ac:dyDescent="0.25">
      <c r="N62" s="312"/>
      <c r="O62" s="312"/>
      <c r="Q62" s="386"/>
      <c r="R62" s="386"/>
    </row>
    <row r="63" spans="11:19" ht="15.75" customHeight="1" x14ac:dyDescent="0.25">
      <c r="N63" s="312"/>
      <c r="O63" s="312"/>
      <c r="Q63" s="386"/>
      <c r="R63" s="386"/>
    </row>
    <row r="64" spans="11:19" ht="15.75" customHeight="1" x14ac:dyDescent="0.25">
      <c r="N64" s="312"/>
      <c r="O64" s="312"/>
      <c r="Q64" s="386"/>
      <c r="R64" s="386"/>
    </row>
    <row r="65" spans="14:18" ht="15.75" customHeight="1" x14ac:dyDescent="0.25">
      <c r="N65" s="312"/>
      <c r="O65" s="312"/>
      <c r="Q65" s="386"/>
      <c r="R65" s="386"/>
    </row>
    <row r="66" spans="14:18" ht="15.75" customHeight="1" x14ac:dyDescent="0.25">
      <c r="N66" s="312"/>
      <c r="O66" s="312"/>
      <c r="Q66" s="386"/>
      <c r="R66" s="386"/>
    </row>
    <row r="67" spans="14:18" ht="15.75" customHeight="1" x14ac:dyDescent="0.25">
      <c r="N67" s="312"/>
      <c r="O67" s="312"/>
      <c r="Q67" s="386"/>
      <c r="R67" s="386"/>
    </row>
    <row r="68" spans="14:18" ht="15.75" customHeight="1" x14ac:dyDescent="0.25">
      <c r="N68" s="312"/>
      <c r="O68" s="312"/>
      <c r="Q68" s="386"/>
      <c r="R68" s="386"/>
    </row>
    <row r="69" spans="14:18" ht="15.75" customHeight="1" x14ac:dyDescent="0.25">
      <c r="N69" s="312"/>
      <c r="O69" s="312"/>
      <c r="Q69" s="386"/>
      <c r="R69" s="386"/>
    </row>
    <row r="70" spans="14:18" ht="15.75" customHeight="1" x14ac:dyDescent="0.25">
      <c r="N70" s="312"/>
      <c r="O70" s="312"/>
      <c r="Q70" s="386"/>
      <c r="R70" s="386"/>
    </row>
    <row r="71" spans="14:18" ht="15.75" customHeight="1" x14ac:dyDescent="0.25">
      <c r="N71" s="312"/>
      <c r="O71" s="312"/>
      <c r="Q71" s="386"/>
      <c r="R71" s="386"/>
    </row>
    <row r="72" spans="14:18" ht="15.75" customHeight="1" x14ac:dyDescent="0.25">
      <c r="N72" s="312"/>
      <c r="O72" s="312"/>
      <c r="Q72" s="386"/>
      <c r="R72" s="386"/>
    </row>
    <row r="73" spans="14:18" ht="15.75" customHeight="1" x14ac:dyDescent="0.25">
      <c r="N73" s="312"/>
      <c r="O73" s="312"/>
      <c r="Q73" s="386"/>
      <c r="R73" s="386"/>
    </row>
    <row r="74" spans="14:18" ht="15.75" customHeight="1" x14ac:dyDescent="0.25">
      <c r="N74" s="312"/>
      <c r="O74" s="312"/>
      <c r="Q74" s="386"/>
      <c r="R74" s="386"/>
    </row>
    <row r="75" spans="14:18" ht="15.75" customHeight="1" x14ac:dyDescent="0.25">
      <c r="N75" s="312"/>
      <c r="O75" s="312"/>
      <c r="Q75" s="386"/>
      <c r="R75" s="386"/>
    </row>
    <row r="76" spans="14:18" ht="15.75" customHeight="1" x14ac:dyDescent="0.25">
      <c r="N76" s="312"/>
      <c r="O76" s="312"/>
      <c r="Q76" s="386"/>
      <c r="R76" s="386"/>
    </row>
    <row r="77" spans="14:18" ht="15.75" customHeight="1" x14ac:dyDescent="0.25">
      <c r="N77" s="312"/>
      <c r="O77" s="312"/>
      <c r="Q77" s="386"/>
      <c r="R77" s="386"/>
    </row>
    <row r="78" spans="14:18" ht="15.75" customHeight="1" x14ac:dyDescent="0.25">
      <c r="N78" s="312"/>
      <c r="O78" s="312"/>
      <c r="Q78" s="386"/>
      <c r="R78" s="386"/>
    </row>
    <row r="79" spans="14:18" ht="15.75" customHeight="1" x14ac:dyDescent="0.25">
      <c r="N79" s="312"/>
      <c r="O79" s="312"/>
      <c r="Q79" s="386"/>
      <c r="R79" s="386"/>
    </row>
    <row r="80" spans="14:18" ht="15.75" customHeight="1" x14ac:dyDescent="0.25">
      <c r="N80" s="312"/>
      <c r="O80" s="312"/>
      <c r="Q80" s="386"/>
      <c r="R80" s="386"/>
    </row>
    <row r="81" spans="14:18" ht="15.75" customHeight="1" x14ac:dyDescent="0.25">
      <c r="N81" s="312"/>
      <c r="O81" s="312"/>
      <c r="Q81" s="386"/>
      <c r="R81" s="386"/>
    </row>
    <row r="82" spans="14:18" ht="15.75" customHeight="1" x14ac:dyDescent="0.25">
      <c r="N82" s="312"/>
      <c r="O82" s="312"/>
      <c r="Q82" s="386"/>
      <c r="R82" s="386"/>
    </row>
    <row r="83" spans="14:18" ht="15.75" customHeight="1" x14ac:dyDescent="0.25">
      <c r="N83" s="312"/>
      <c r="O83" s="312"/>
      <c r="Q83" s="386"/>
      <c r="R83" s="386"/>
    </row>
    <row r="84" spans="14:18" ht="15.75" customHeight="1" x14ac:dyDescent="0.25">
      <c r="N84" s="312"/>
      <c r="O84" s="312"/>
      <c r="Q84" s="386"/>
      <c r="R84" s="386"/>
    </row>
    <row r="85" spans="14:18" ht="15.75" customHeight="1" x14ac:dyDescent="0.25">
      <c r="N85" s="312"/>
      <c r="O85" s="312"/>
      <c r="Q85" s="386"/>
      <c r="R85" s="386"/>
    </row>
    <row r="86" spans="14:18" ht="15.75" customHeight="1" x14ac:dyDescent="0.25">
      <c r="N86" s="312"/>
      <c r="O86" s="312"/>
      <c r="Q86" s="386"/>
      <c r="R86" s="386"/>
    </row>
    <row r="87" spans="14:18" ht="15.75" customHeight="1" x14ac:dyDescent="0.25">
      <c r="N87" s="312"/>
      <c r="O87" s="312"/>
      <c r="Q87" s="386"/>
      <c r="R87" s="386"/>
    </row>
    <row r="88" spans="14:18" ht="15.75" customHeight="1" x14ac:dyDescent="0.25">
      <c r="N88" s="312"/>
      <c r="O88" s="312"/>
      <c r="Q88" s="386"/>
      <c r="R88" s="386"/>
    </row>
    <row r="89" spans="14:18" ht="15.75" customHeight="1" x14ac:dyDescent="0.25">
      <c r="N89" s="312"/>
      <c r="O89" s="312"/>
      <c r="Q89" s="386"/>
      <c r="R89" s="386"/>
    </row>
    <row r="90" spans="14:18" ht="15.75" customHeight="1" x14ac:dyDescent="0.25">
      <c r="N90" s="312"/>
      <c r="O90" s="312"/>
      <c r="Q90" s="386"/>
      <c r="R90" s="386"/>
    </row>
    <row r="91" spans="14:18" ht="15.75" customHeight="1" x14ac:dyDescent="0.25">
      <c r="N91" s="312"/>
      <c r="O91" s="312"/>
      <c r="Q91" s="386"/>
      <c r="R91" s="386"/>
    </row>
    <row r="92" spans="14:18" ht="15.75" customHeight="1" x14ac:dyDescent="0.25">
      <c r="N92" s="312"/>
      <c r="O92" s="312"/>
      <c r="Q92" s="386"/>
      <c r="R92" s="386"/>
    </row>
    <row r="93" spans="14:18" ht="15.75" customHeight="1" x14ac:dyDescent="0.25">
      <c r="N93" s="312"/>
      <c r="O93" s="312"/>
      <c r="Q93" s="386"/>
      <c r="R93" s="386"/>
    </row>
    <row r="94" spans="14:18" ht="15.75" customHeight="1" x14ac:dyDescent="0.25">
      <c r="N94" s="312"/>
      <c r="O94" s="312"/>
      <c r="Q94" s="386"/>
      <c r="R94" s="386"/>
    </row>
    <row r="95" spans="14:18" ht="15.75" customHeight="1" x14ac:dyDescent="0.25">
      <c r="N95" s="312"/>
      <c r="O95" s="312"/>
      <c r="Q95" s="386"/>
      <c r="R95" s="386"/>
    </row>
    <row r="96" spans="14:18" ht="15.75" customHeight="1" x14ac:dyDescent="0.25">
      <c r="N96" s="312"/>
      <c r="O96" s="312"/>
      <c r="Q96" s="386"/>
      <c r="R96" s="386"/>
    </row>
    <row r="97" spans="14:18" ht="15.75" customHeight="1" x14ac:dyDescent="0.25">
      <c r="N97" s="312"/>
      <c r="O97" s="312"/>
      <c r="Q97" s="386"/>
      <c r="R97" s="386"/>
    </row>
    <row r="98" spans="14:18" ht="15.75" customHeight="1" x14ac:dyDescent="0.25">
      <c r="N98" s="312"/>
      <c r="O98" s="312"/>
      <c r="Q98" s="386"/>
      <c r="R98" s="386"/>
    </row>
    <row r="99" spans="14:18" ht="15.75" customHeight="1" x14ac:dyDescent="0.25">
      <c r="N99" s="312"/>
      <c r="O99" s="312"/>
      <c r="Q99" s="386"/>
      <c r="R99" s="386"/>
    </row>
    <row r="100" spans="14:18" ht="15.75" customHeight="1" x14ac:dyDescent="0.25">
      <c r="N100" s="312"/>
      <c r="O100" s="312"/>
      <c r="Q100" s="386"/>
      <c r="R100" s="386"/>
    </row>
    <row r="101" spans="14:18" ht="15.75" customHeight="1" x14ac:dyDescent="0.25">
      <c r="N101" s="312"/>
      <c r="O101" s="312"/>
      <c r="Q101" s="386"/>
      <c r="R101" s="386"/>
    </row>
    <row r="102" spans="14:18" ht="15.75" customHeight="1" x14ac:dyDescent="0.25">
      <c r="N102" s="312"/>
      <c r="O102" s="312"/>
      <c r="Q102" s="386"/>
      <c r="R102" s="386"/>
    </row>
    <row r="103" spans="14:18" ht="15.75" customHeight="1" x14ac:dyDescent="0.25">
      <c r="N103" s="312"/>
      <c r="O103" s="312"/>
      <c r="Q103" s="386"/>
      <c r="R103" s="386"/>
    </row>
    <row r="104" spans="14:18" ht="15.75" customHeight="1" x14ac:dyDescent="0.25">
      <c r="N104" s="312"/>
      <c r="O104" s="312"/>
      <c r="Q104" s="386"/>
      <c r="R104" s="386"/>
    </row>
    <row r="105" spans="14:18" ht="15.75" customHeight="1" x14ac:dyDescent="0.25">
      <c r="N105" s="312"/>
      <c r="O105" s="312"/>
      <c r="Q105" s="386"/>
      <c r="R105" s="386"/>
    </row>
    <row r="106" spans="14:18" ht="15.75" customHeight="1" x14ac:dyDescent="0.25">
      <c r="N106" s="312"/>
      <c r="O106" s="312"/>
      <c r="Q106" s="386"/>
      <c r="R106" s="386"/>
    </row>
    <row r="107" spans="14:18" ht="15.75" customHeight="1" x14ac:dyDescent="0.25">
      <c r="N107" s="312"/>
      <c r="O107" s="312"/>
      <c r="Q107" s="386"/>
      <c r="R107" s="386"/>
    </row>
    <row r="108" spans="14:18" ht="15.75" customHeight="1" x14ac:dyDescent="0.25">
      <c r="N108" s="312"/>
      <c r="O108" s="312"/>
      <c r="Q108" s="386"/>
      <c r="R108" s="386"/>
    </row>
    <row r="109" spans="14:18" ht="15.75" customHeight="1" x14ac:dyDescent="0.25">
      <c r="N109" s="312"/>
      <c r="O109" s="312"/>
      <c r="Q109" s="386"/>
      <c r="R109" s="386"/>
    </row>
    <row r="110" spans="14:18" ht="15.75" customHeight="1" x14ac:dyDescent="0.25">
      <c r="N110" s="312"/>
      <c r="O110" s="312"/>
      <c r="Q110" s="386"/>
      <c r="R110" s="386"/>
    </row>
    <row r="111" spans="14:18" ht="15.75" customHeight="1" x14ac:dyDescent="0.25">
      <c r="N111" s="312"/>
      <c r="O111" s="312"/>
      <c r="Q111" s="386"/>
      <c r="R111" s="386"/>
    </row>
    <row r="112" spans="14:18" ht="15.75" customHeight="1" x14ac:dyDescent="0.25">
      <c r="N112" s="312"/>
      <c r="O112" s="312"/>
      <c r="Q112" s="386"/>
      <c r="R112" s="386"/>
    </row>
    <row r="113" spans="14:18" ht="15.75" customHeight="1" x14ac:dyDescent="0.25">
      <c r="N113" s="312"/>
      <c r="O113" s="312"/>
      <c r="Q113" s="386"/>
      <c r="R113" s="386"/>
    </row>
    <row r="114" spans="14:18" ht="15.75" customHeight="1" x14ac:dyDescent="0.25">
      <c r="N114" s="312"/>
      <c r="O114" s="312"/>
      <c r="Q114" s="386"/>
      <c r="R114" s="386"/>
    </row>
    <row r="115" spans="14:18" ht="15.75" customHeight="1" x14ac:dyDescent="0.25">
      <c r="N115" s="312"/>
      <c r="O115" s="312"/>
      <c r="Q115" s="386"/>
      <c r="R115" s="386"/>
    </row>
    <row r="116" spans="14:18" ht="15.75" customHeight="1" x14ac:dyDescent="0.25">
      <c r="N116" s="312"/>
      <c r="O116" s="312"/>
      <c r="Q116" s="386"/>
      <c r="R116" s="386"/>
    </row>
    <row r="117" spans="14:18" ht="15.75" customHeight="1" x14ac:dyDescent="0.25">
      <c r="N117" s="312"/>
      <c r="O117" s="312"/>
      <c r="Q117" s="386"/>
      <c r="R117" s="386"/>
    </row>
    <row r="118" spans="14:18" ht="15.75" customHeight="1" x14ac:dyDescent="0.25">
      <c r="N118" s="312"/>
      <c r="O118" s="312"/>
      <c r="Q118" s="386"/>
      <c r="R118" s="386"/>
    </row>
    <row r="119" spans="14:18" ht="15.75" customHeight="1" x14ac:dyDescent="0.25">
      <c r="N119" s="312"/>
      <c r="O119" s="312"/>
      <c r="Q119" s="386"/>
      <c r="R119" s="386"/>
    </row>
    <row r="120" spans="14:18" ht="15.75" customHeight="1" x14ac:dyDescent="0.25">
      <c r="N120" s="312"/>
      <c r="O120" s="312"/>
      <c r="Q120" s="386"/>
      <c r="R120" s="386"/>
    </row>
    <row r="121" spans="14:18" ht="15.75" customHeight="1" x14ac:dyDescent="0.25">
      <c r="N121" s="312"/>
      <c r="O121" s="312"/>
      <c r="Q121" s="386"/>
      <c r="R121" s="386"/>
    </row>
    <row r="122" spans="14:18" ht="15.75" customHeight="1" x14ac:dyDescent="0.25">
      <c r="N122" s="312"/>
      <c r="O122" s="312"/>
      <c r="Q122" s="386"/>
      <c r="R122" s="386"/>
    </row>
    <row r="123" spans="14:18" ht="15.75" customHeight="1" x14ac:dyDescent="0.25">
      <c r="N123" s="312"/>
      <c r="O123" s="312"/>
      <c r="Q123" s="386"/>
      <c r="R123" s="386"/>
    </row>
    <row r="124" spans="14:18" ht="15.75" customHeight="1" x14ac:dyDescent="0.25">
      <c r="N124" s="312"/>
      <c r="O124" s="312"/>
      <c r="Q124" s="386"/>
      <c r="R124" s="386"/>
    </row>
    <row r="125" spans="14:18" ht="15.75" customHeight="1" x14ac:dyDescent="0.25">
      <c r="N125" s="312"/>
      <c r="O125" s="312"/>
      <c r="Q125" s="386"/>
      <c r="R125" s="386"/>
    </row>
    <row r="126" spans="14:18" ht="15.75" customHeight="1" x14ac:dyDescent="0.25">
      <c r="N126" s="312"/>
      <c r="O126" s="312"/>
      <c r="Q126" s="386"/>
      <c r="R126" s="386"/>
    </row>
    <row r="127" spans="14:18" ht="15.75" customHeight="1" x14ac:dyDescent="0.25">
      <c r="N127" s="312"/>
      <c r="O127" s="312"/>
      <c r="Q127" s="386"/>
      <c r="R127" s="386"/>
    </row>
    <row r="128" spans="14:18" ht="15.75" customHeight="1" x14ac:dyDescent="0.25">
      <c r="N128" s="312"/>
      <c r="O128" s="312"/>
      <c r="Q128" s="386"/>
      <c r="R128" s="386"/>
    </row>
    <row r="129" spans="14:18" ht="15.75" customHeight="1" x14ac:dyDescent="0.25">
      <c r="N129" s="312"/>
      <c r="O129" s="312"/>
      <c r="Q129" s="386"/>
      <c r="R129" s="386"/>
    </row>
    <row r="130" spans="14:18" ht="15.75" customHeight="1" x14ac:dyDescent="0.25">
      <c r="N130" s="312"/>
      <c r="O130" s="312"/>
      <c r="Q130" s="386"/>
      <c r="R130" s="386"/>
    </row>
    <row r="131" spans="14:18" ht="15.75" customHeight="1" x14ac:dyDescent="0.25">
      <c r="N131" s="312"/>
      <c r="O131" s="312"/>
      <c r="Q131" s="386"/>
      <c r="R131" s="386"/>
    </row>
    <row r="132" spans="14:18" ht="15.75" customHeight="1" x14ac:dyDescent="0.25">
      <c r="N132" s="312"/>
      <c r="O132" s="312"/>
      <c r="Q132" s="386"/>
      <c r="R132" s="386"/>
    </row>
    <row r="133" spans="14:18" ht="15.75" customHeight="1" x14ac:dyDescent="0.25">
      <c r="N133" s="312"/>
      <c r="O133" s="312"/>
      <c r="Q133" s="386"/>
      <c r="R133" s="386"/>
    </row>
    <row r="134" spans="14:18" ht="15.75" customHeight="1" x14ac:dyDescent="0.25">
      <c r="N134" s="312"/>
      <c r="O134" s="312"/>
      <c r="Q134" s="386"/>
      <c r="R134" s="386"/>
    </row>
    <row r="135" spans="14:18" ht="15.75" customHeight="1" x14ac:dyDescent="0.25">
      <c r="N135" s="312"/>
      <c r="O135" s="312"/>
      <c r="Q135" s="386"/>
      <c r="R135" s="386"/>
    </row>
    <row r="136" spans="14:18" ht="15.75" customHeight="1" x14ac:dyDescent="0.25">
      <c r="N136" s="312"/>
      <c r="O136" s="312"/>
      <c r="Q136" s="386"/>
      <c r="R136" s="386"/>
    </row>
    <row r="137" spans="14:18" ht="15.75" customHeight="1" x14ac:dyDescent="0.25">
      <c r="N137" s="312"/>
      <c r="O137" s="312"/>
      <c r="Q137" s="386"/>
      <c r="R137" s="386"/>
    </row>
    <row r="138" spans="14:18" ht="15.75" customHeight="1" x14ac:dyDescent="0.25">
      <c r="N138" s="312"/>
      <c r="O138" s="312"/>
      <c r="Q138" s="386"/>
      <c r="R138" s="386"/>
    </row>
    <row r="139" spans="14:18" ht="15.75" customHeight="1" x14ac:dyDescent="0.25">
      <c r="N139" s="312"/>
      <c r="O139" s="312"/>
      <c r="Q139" s="386"/>
      <c r="R139" s="386"/>
    </row>
    <row r="140" spans="14:18" ht="15.75" customHeight="1" x14ac:dyDescent="0.25">
      <c r="N140" s="312"/>
      <c r="O140" s="312"/>
      <c r="Q140" s="386"/>
      <c r="R140" s="386"/>
    </row>
    <row r="141" spans="14:18" ht="15.75" customHeight="1" x14ac:dyDescent="0.25">
      <c r="N141" s="312"/>
      <c r="O141" s="312"/>
      <c r="Q141" s="386"/>
      <c r="R141" s="386"/>
    </row>
    <row r="142" spans="14:18" ht="15.75" customHeight="1" x14ac:dyDescent="0.25">
      <c r="N142" s="312"/>
      <c r="O142" s="312"/>
      <c r="Q142" s="386"/>
      <c r="R142" s="386"/>
    </row>
    <row r="143" spans="14:18" ht="15.75" customHeight="1" x14ac:dyDescent="0.25">
      <c r="N143" s="312"/>
      <c r="O143" s="312"/>
      <c r="Q143" s="386"/>
      <c r="R143" s="386"/>
    </row>
    <row r="144" spans="14:18" ht="15.75" customHeight="1" x14ac:dyDescent="0.25">
      <c r="N144" s="312"/>
      <c r="O144" s="312"/>
      <c r="Q144" s="386"/>
      <c r="R144" s="386"/>
    </row>
    <row r="145" spans="14:18" ht="15.75" customHeight="1" x14ac:dyDescent="0.25">
      <c r="N145" s="312"/>
      <c r="O145" s="312"/>
      <c r="Q145" s="386"/>
      <c r="R145" s="386"/>
    </row>
    <row r="146" spans="14:18" ht="15.75" customHeight="1" x14ac:dyDescent="0.25">
      <c r="N146" s="312"/>
      <c r="O146" s="312"/>
      <c r="Q146" s="386"/>
      <c r="R146" s="386"/>
    </row>
    <row r="147" spans="14:18" ht="15.75" customHeight="1" x14ac:dyDescent="0.25">
      <c r="N147" s="312"/>
      <c r="O147" s="312"/>
      <c r="Q147" s="386"/>
      <c r="R147" s="386"/>
    </row>
    <row r="148" spans="14:18" ht="15.75" customHeight="1" x14ac:dyDescent="0.25">
      <c r="N148" s="312"/>
      <c r="O148" s="312"/>
      <c r="Q148" s="386"/>
      <c r="R148" s="386"/>
    </row>
    <row r="149" spans="14:18" ht="15.75" customHeight="1" x14ac:dyDescent="0.25">
      <c r="N149" s="312"/>
      <c r="O149" s="312"/>
      <c r="Q149" s="386"/>
      <c r="R149" s="386"/>
    </row>
    <row r="150" spans="14:18" ht="15.75" customHeight="1" x14ac:dyDescent="0.25">
      <c r="N150" s="312"/>
      <c r="O150" s="312"/>
      <c r="Q150" s="386"/>
      <c r="R150" s="386"/>
    </row>
    <row r="151" spans="14:18" ht="15.75" customHeight="1" x14ac:dyDescent="0.25">
      <c r="N151" s="312"/>
      <c r="O151" s="312"/>
      <c r="Q151" s="386"/>
      <c r="R151" s="386"/>
    </row>
    <row r="152" spans="14:18" ht="15.75" customHeight="1" x14ac:dyDescent="0.25">
      <c r="N152" s="312"/>
      <c r="O152" s="312"/>
      <c r="Q152" s="386"/>
      <c r="R152" s="386"/>
    </row>
    <row r="153" spans="14:18" ht="15.75" customHeight="1" x14ac:dyDescent="0.25">
      <c r="N153" s="312"/>
      <c r="O153" s="312"/>
      <c r="Q153" s="386"/>
      <c r="R153" s="386"/>
    </row>
    <row r="154" spans="14:18" ht="15.75" customHeight="1" x14ac:dyDescent="0.25">
      <c r="N154" s="312"/>
      <c r="O154" s="312"/>
      <c r="Q154" s="386"/>
      <c r="R154" s="386"/>
    </row>
    <row r="155" spans="14:18" ht="15.75" customHeight="1" x14ac:dyDescent="0.25">
      <c r="N155" s="312"/>
      <c r="O155" s="312"/>
      <c r="Q155" s="386"/>
      <c r="R155" s="386"/>
    </row>
    <row r="156" spans="14:18" ht="15.75" customHeight="1" x14ac:dyDescent="0.25">
      <c r="N156" s="312"/>
      <c r="O156" s="312"/>
      <c r="Q156" s="386"/>
      <c r="R156" s="386"/>
    </row>
    <row r="157" spans="14:18" ht="15.75" customHeight="1" x14ac:dyDescent="0.25">
      <c r="N157" s="312"/>
      <c r="O157" s="312"/>
      <c r="Q157" s="386"/>
      <c r="R157" s="386"/>
    </row>
    <row r="158" spans="14:18" ht="15.75" customHeight="1" x14ac:dyDescent="0.25">
      <c r="N158" s="312"/>
      <c r="O158" s="312"/>
      <c r="Q158" s="386"/>
      <c r="R158" s="386"/>
    </row>
    <row r="159" spans="14:18" ht="15.75" customHeight="1" x14ac:dyDescent="0.25">
      <c r="N159" s="312"/>
      <c r="O159" s="312"/>
      <c r="Q159" s="386"/>
      <c r="R159" s="386"/>
    </row>
    <row r="160" spans="14:18" ht="15.75" customHeight="1" x14ac:dyDescent="0.25">
      <c r="N160" s="312"/>
      <c r="O160" s="312"/>
      <c r="Q160" s="386"/>
      <c r="R160" s="386"/>
    </row>
    <row r="161" spans="14:18" ht="15.75" customHeight="1" x14ac:dyDescent="0.25">
      <c r="N161" s="312"/>
      <c r="O161" s="312"/>
      <c r="Q161" s="386"/>
      <c r="R161" s="386"/>
    </row>
    <row r="162" spans="14:18" ht="15.75" customHeight="1" x14ac:dyDescent="0.25">
      <c r="N162" s="312"/>
      <c r="O162" s="312"/>
      <c r="Q162" s="386"/>
      <c r="R162" s="386"/>
    </row>
    <row r="163" spans="14:18" ht="15.75" customHeight="1" x14ac:dyDescent="0.25">
      <c r="N163" s="312"/>
      <c r="O163" s="312"/>
      <c r="Q163" s="386"/>
      <c r="R163" s="386"/>
    </row>
    <row r="164" spans="14:18" ht="15.75" customHeight="1" x14ac:dyDescent="0.25">
      <c r="N164" s="312"/>
      <c r="O164" s="312"/>
      <c r="Q164" s="386"/>
      <c r="R164" s="386"/>
    </row>
    <row r="165" spans="14:18" ht="15.75" customHeight="1" x14ac:dyDescent="0.25">
      <c r="N165" s="312"/>
      <c r="O165" s="312"/>
      <c r="Q165" s="386"/>
      <c r="R165" s="386"/>
    </row>
    <row r="166" spans="14:18" ht="15.75" customHeight="1" x14ac:dyDescent="0.25">
      <c r="N166" s="312"/>
      <c r="O166" s="312"/>
      <c r="Q166" s="386"/>
      <c r="R166" s="386"/>
    </row>
    <row r="167" spans="14:18" ht="15.75" customHeight="1" x14ac:dyDescent="0.25">
      <c r="N167" s="312"/>
      <c r="O167" s="312"/>
      <c r="Q167" s="386"/>
      <c r="R167" s="386"/>
    </row>
    <row r="168" spans="14:18" ht="15.75" customHeight="1" x14ac:dyDescent="0.25">
      <c r="N168" s="312"/>
      <c r="O168" s="312"/>
      <c r="Q168" s="386"/>
      <c r="R168" s="386"/>
    </row>
    <row r="169" spans="14:18" ht="15.75" customHeight="1" x14ac:dyDescent="0.25">
      <c r="N169" s="312"/>
      <c r="O169" s="312"/>
      <c r="Q169" s="386"/>
      <c r="R169" s="386"/>
    </row>
    <row r="170" spans="14:18" ht="15.75" customHeight="1" x14ac:dyDescent="0.25">
      <c r="N170" s="312"/>
      <c r="O170" s="312"/>
      <c r="Q170" s="386"/>
      <c r="R170" s="386"/>
    </row>
    <row r="171" spans="14:18" ht="15.75" customHeight="1" x14ac:dyDescent="0.25">
      <c r="N171" s="312"/>
      <c r="O171" s="312"/>
      <c r="Q171" s="386"/>
      <c r="R171" s="386"/>
    </row>
    <row r="172" spans="14:18" ht="15.75" customHeight="1" x14ac:dyDescent="0.25">
      <c r="N172" s="312"/>
      <c r="O172" s="312"/>
      <c r="Q172" s="386"/>
      <c r="R172" s="386"/>
    </row>
    <row r="173" spans="14:18" ht="15.75" customHeight="1" x14ac:dyDescent="0.25">
      <c r="N173" s="312"/>
      <c r="O173" s="312"/>
      <c r="Q173" s="386"/>
      <c r="R173" s="386"/>
    </row>
    <row r="174" spans="14:18" ht="15.75" customHeight="1" x14ac:dyDescent="0.25">
      <c r="N174" s="312"/>
      <c r="O174" s="312"/>
      <c r="Q174" s="386"/>
      <c r="R174" s="386"/>
    </row>
    <row r="175" spans="14:18" ht="15.75" customHeight="1" x14ac:dyDescent="0.25">
      <c r="N175" s="312"/>
      <c r="O175" s="312"/>
      <c r="Q175" s="386"/>
      <c r="R175" s="386"/>
    </row>
    <row r="176" spans="14:18" ht="15.75" customHeight="1" x14ac:dyDescent="0.25">
      <c r="N176" s="312"/>
      <c r="O176" s="312"/>
      <c r="Q176" s="386"/>
      <c r="R176" s="386"/>
    </row>
    <row r="177" spans="14:18" ht="15.75" customHeight="1" x14ac:dyDescent="0.25">
      <c r="N177" s="312"/>
      <c r="O177" s="312"/>
      <c r="Q177" s="386"/>
      <c r="R177" s="386"/>
    </row>
    <row r="178" spans="14:18" ht="15.75" customHeight="1" x14ac:dyDescent="0.25">
      <c r="N178" s="312"/>
      <c r="O178" s="312"/>
      <c r="Q178" s="386"/>
      <c r="R178" s="386"/>
    </row>
    <row r="179" spans="14:18" ht="15.75" customHeight="1" x14ac:dyDescent="0.25">
      <c r="N179" s="312"/>
      <c r="O179" s="312"/>
      <c r="Q179" s="386"/>
      <c r="R179" s="386"/>
    </row>
    <row r="180" spans="14:18" ht="15.75" customHeight="1" x14ac:dyDescent="0.25">
      <c r="N180" s="312"/>
      <c r="O180" s="312"/>
      <c r="Q180" s="386"/>
      <c r="R180" s="386"/>
    </row>
    <row r="181" spans="14:18" ht="15.75" customHeight="1" x14ac:dyDescent="0.25">
      <c r="N181" s="312"/>
      <c r="O181" s="312"/>
      <c r="Q181" s="386"/>
      <c r="R181" s="386"/>
    </row>
    <row r="182" spans="14:18" ht="15.75" customHeight="1" x14ac:dyDescent="0.25">
      <c r="N182" s="312"/>
      <c r="O182" s="312"/>
      <c r="Q182" s="386"/>
      <c r="R182" s="386"/>
    </row>
    <row r="183" spans="14:18" ht="15.75" customHeight="1" x14ac:dyDescent="0.25">
      <c r="N183" s="312"/>
      <c r="O183" s="312"/>
      <c r="Q183" s="386"/>
      <c r="R183" s="386"/>
    </row>
    <row r="184" spans="14:18" ht="15.75" customHeight="1" x14ac:dyDescent="0.25">
      <c r="N184" s="312"/>
      <c r="O184" s="312"/>
      <c r="Q184" s="386"/>
      <c r="R184" s="386"/>
    </row>
    <row r="185" spans="14:18" ht="15.75" customHeight="1" x14ac:dyDescent="0.25">
      <c r="N185" s="312"/>
      <c r="O185" s="312"/>
      <c r="Q185" s="386"/>
      <c r="R185" s="386"/>
    </row>
    <row r="186" spans="14:18" ht="15.75" customHeight="1" x14ac:dyDescent="0.25">
      <c r="N186" s="312"/>
      <c r="O186" s="312"/>
      <c r="Q186" s="386"/>
      <c r="R186" s="386"/>
    </row>
    <row r="187" spans="14:18" ht="15.75" customHeight="1" x14ac:dyDescent="0.25">
      <c r="N187" s="312"/>
      <c r="O187" s="312"/>
      <c r="Q187" s="386"/>
      <c r="R187" s="386"/>
    </row>
    <row r="188" spans="14:18" ht="15.75" customHeight="1" x14ac:dyDescent="0.25">
      <c r="N188" s="312"/>
      <c r="O188" s="312"/>
      <c r="Q188" s="386"/>
      <c r="R188" s="386"/>
    </row>
    <row r="189" spans="14:18" ht="15.75" customHeight="1" x14ac:dyDescent="0.25">
      <c r="N189" s="312"/>
      <c r="O189" s="312"/>
      <c r="Q189" s="386"/>
      <c r="R189" s="386"/>
    </row>
    <row r="190" spans="14:18" ht="15.75" customHeight="1" x14ac:dyDescent="0.25">
      <c r="N190" s="312"/>
      <c r="O190" s="312"/>
      <c r="Q190" s="386"/>
      <c r="R190" s="386"/>
    </row>
    <row r="191" spans="14:18" ht="15.75" customHeight="1" x14ac:dyDescent="0.25">
      <c r="N191" s="312"/>
      <c r="O191" s="312"/>
      <c r="Q191" s="386"/>
      <c r="R191" s="386"/>
    </row>
    <row r="192" spans="14:18" ht="15.75" customHeight="1" x14ac:dyDescent="0.25">
      <c r="N192" s="312"/>
      <c r="O192" s="312"/>
      <c r="Q192" s="386"/>
      <c r="R192" s="386"/>
    </row>
    <row r="193" spans="14:18" ht="15.75" customHeight="1" x14ac:dyDescent="0.25">
      <c r="N193" s="312"/>
      <c r="O193" s="312"/>
      <c r="Q193" s="386"/>
      <c r="R193" s="386"/>
    </row>
    <row r="194" spans="14:18" ht="15.75" customHeight="1" x14ac:dyDescent="0.25">
      <c r="N194" s="312"/>
      <c r="O194" s="312"/>
      <c r="Q194" s="386"/>
      <c r="R194" s="386"/>
    </row>
    <row r="195" spans="14:18" ht="15.75" customHeight="1" x14ac:dyDescent="0.25">
      <c r="N195" s="312"/>
      <c r="O195" s="312"/>
      <c r="Q195" s="386"/>
      <c r="R195" s="386"/>
    </row>
    <row r="196" spans="14:18" ht="15.75" customHeight="1" x14ac:dyDescent="0.25">
      <c r="N196" s="312"/>
      <c r="O196" s="312"/>
      <c r="Q196" s="386"/>
      <c r="R196" s="386"/>
    </row>
    <row r="197" spans="14:18" ht="15.75" customHeight="1" x14ac:dyDescent="0.25">
      <c r="N197" s="312"/>
      <c r="O197" s="312"/>
      <c r="Q197" s="386"/>
      <c r="R197" s="386"/>
    </row>
    <row r="198" spans="14:18" ht="15.75" customHeight="1" x14ac:dyDescent="0.25">
      <c r="N198" s="312"/>
      <c r="O198" s="312"/>
      <c r="Q198" s="386"/>
      <c r="R198" s="386"/>
    </row>
    <row r="199" spans="14:18" ht="15.75" customHeight="1" x14ac:dyDescent="0.25">
      <c r="N199" s="312"/>
      <c r="O199" s="312"/>
      <c r="Q199" s="386"/>
      <c r="R199" s="386"/>
    </row>
    <row r="200" spans="14:18" ht="15.75" customHeight="1" x14ac:dyDescent="0.25">
      <c r="N200" s="312"/>
      <c r="O200" s="312"/>
      <c r="Q200" s="386"/>
      <c r="R200" s="386"/>
    </row>
    <row r="201" spans="14:18" ht="15.75" customHeight="1" x14ac:dyDescent="0.25">
      <c r="N201" s="312"/>
      <c r="O201" s="312"/>
      <c r="Q201" s="386"/>
      <c r="R201" s="386"/>
    </row>
    <row r="202" spans="14:18" ht="15.75" customHeight="1" x14ac:dyDescent="0.25">
      <c r="N202" s="312"/>
      <c r="O202" s="312"/>
      <c r="Q202" s="386"/>
      <c r="R202" s="386"/>
    </row>
    <row r="203" spans="14:18" ht="15.75" customHeight="1" x14ac:dyDescent="0.25">
      <c r="N203" s="312"/>
      <c r="O203" s="312"/>
      <c r="Q203" s="386"/>
      <c r="R203" s="386"/>
    </row>
    <row r="204" spans="14:18" ht="15.75" customHeight="1" x14ac:dyDescent="0.25">
      <c r="N204" s="312"/>
      <c r="O204" s="312"/>
      <c r="Q204" s="386"/>
      <c r="R204" s="386"/>
    </row>
    <row r="205" spans="14:18" ht="15.75" customHeight="1" x14ac:dyDescent="0.25">
      <c r="N205" s="312"/>
      <c r="O205" s="312"/>
      <c r="Q205" s="386"/>
      <c r="R205" s="386"/>
    </row>
    <row r="206" spans="14:18" ht="15.75" customHeight="1" x14ac:dyDescent="0.25">
      <c r="N206" s="312"/>
      <c r="O206" s="312"/>
      <c r="Q206" s="386"/>
      <c r="R206" s="386"/>
    </row>
    <row r="207" spans="14:18" ht="15.75" customHeight="1" x14ac:dyDescent="0.25">
      <c r="N207" s="312"/>
      <c r="O207" s="312"/>
      <c r="Q207" s="386"/>
      <c r="R207" s="386"/>
    </row>
    <row r="208" spans="14:18" ht="15.75" customHeight="1" x14ac:dyDescent="0.25">
      <c r="N208" s="312"/>
      <c r="O208" s="312"/>
      <c r="Q208" s="386"/>
      <c r="R208" s="386"/>
    </row>
    <row r="209" spans="14:18" ht="15.75" customHeight="1" x14ac:dyDescent="0.25">
      <c r="N209" s="312"/>
      <c r="O209" s="312"/>
      <c r="Q209" s="386"/>
      <c r="R209" s="386"/>
    </row>
    <row r="210" spans="14:18" ht="15.75" customHeight="1" x14ac:dyDescent="0.25">
      <c r="N210" s="312"/>
      <c r="O210" s="312"/>
      <c r="Q210" s="386"/>
      <c r="R210" s="386"/>
    </row>
    <row r="211" spans="14:18" ht="15.75" customHeight="1" x14ac:dyDescent="0.25">
      <c r="N211" s="312"/>
      <c r="O211" s="312"/>
      <c r="Q211" s="386"/>
      <c r="R211" s="386"/>
    </row>
    <row r="212" spans="14:18" ht="15.75" customHeight="1" x14ac:dyDescent="0.25">
      <c r="N212" s="312"/>
      <c r="O212" s="312"/>
      <c r="Q212" s="386"/>
      <c r="R212" s="386"/>
    </row>
    <row r="213" spans="14:18" ht="15.75" customHeight="1" x14ac:dyDescent="0.25">
      <c r="N213" s="312"/>
      <c r="O213" s="312"/>
      <c r="Q213" s="386"/>
      <c r="R213" s="386"/>
    </row>
    <row r="214" spans="14:18" ht="15.75" customHeight="1" x14ac:dyDescent="0.25">
      <c r="N214" s="312"/>
      <c r="O214" s="312"/>
      <c r="Q214" s="386"/>
      <c r="R214" s="386"/>
    </row>
    <row r="215" spans="14:18" ht="15.75" customHeight="1" x14ac:dyDescent="0.25">
      <c r="N215" s="312"/>
      <c r="O215" s="312"/>
      <c r="Q215" s="386"/>
      <c r="R215" s="386"/>
    </row>
    <row r="216" spans="14:18" ht="15.75" customHeight="1" x14ac:dyDescent="0.25">
      <c r="N216" s="312"/>
      <c r="O216" s="312"/>
      <c r="Q216" s="386"/>
      <c r="R216" s="386"/>
    </row>
    <row r="217" spans="14:18" ht="15.75" customHeight="1" x14ac:dyDescent="0.25">
      <c r="N217" s="312"/>
      <c r="O217" s="312"/>
      <c r="Q217" s="386"/>
      <c r="R217" s="386"/>
    </row>
    <row r="218" spans="14:18" ht="15.75" customHeight="1" x14ac:dyDescent="0.25">
      <c r="N218" s="312"/>
      <c r="O218" s="312"/>
      <c r="Q218" s="386"/>
      <c r="R218" s="386"/>
    </row>
    <row r="219" spans="14:18" ht="15.75" customHeight="1" x14ac:dyDescent="0.25">
      <c r="N219" s="312"/>
      <c r="O219" s="312"/>
      <c r="Q219" s="386"/>
      <c r="R219" s="386"/>
    </row>
    <row r="220" spans="14:18" ht="15.75" customHeight="1" x14ac:dyDescent="0.25">
      <c r="N220" s="312"/>
      <c r="O220" s="312"/>
      <c r="Q220" s="386"/>
      <c r="R220" s="386"/>
    </row>
    <row r="221" spans="14:18" ht="15.75" customHeight="1" x14ac:dyDescent="0.25">
      <c r="N221" s="312"/>
      <c r="O221" s="312"/>
      <c r="Q221" s="386"/>
      <c r="R221" s="386"/>
    </row>
    <row r="222" spans="14:18" ht="15.75" customHeight="1" x14ac:dyDescent="0.25">
      <c r="N222" s="312"/>
      <c r="O222" s="312"/>
      <c r="Q222" s="386"/>
      <c r="R222" s="386"/>
    </row>
    <row r="223" spans="14:18" ht="15.75" customHeight="1" x14ac:dyDescent="0.25">
      <c r="N223" s="312"/>
      <c r="O223" s="312"/>
      <c r="Q223" s="386"/>
      <c r="R223" s="386"/>
    </row>
    <row r="224" spans="14:18" ht="15.75" customHeight="1" x14ac:dyDescent="0.25">
      <c r="N224" s="312"/>
      <c r="O224" s="312"/>
      <c r="Q224" s="386"/>
      <c r="R224" s="386"/>
    </row>
    <row r="225" spans="14:18" ht="15.75" customHeight="1" x14ac:dyDescent="0.25">
      <c r="N225" s="312"/>
      <c r="O225" s="312"/>
      <c r="Q225" s="386"/>
      <c r="R225" s="386"/>
    </row>
    <row r="226" spans="14:18" ht="15.75" customHeight="1" x14ac:dyDescent="0.25">
      <c r="N226" s="312"/>
      <c r="O226" s="312"/>
      <c r="Q226" s="386"/>
      <c r="R226" s="386"/>
    </row>
    <row r="227" spans="14:18" ht="15.75" customHeight="1" x14ac:dyDescent="0.25">
      <c r="N227" s="312"/>
      <c r="O227" s="312"/>
      <c r="Q227" s="386"/>
      <c r="R227" s="386"/>
    </row>
    <row r="228" spans="14:18" ht="15.75" customHeight="1" x14ac:dyDescent="0.25">
      <c r="N228" s="312"/>
      <c r="O228" s="312"/>
      <c r="Q228" s="386"/>
      <c r="R228" s="386"/>
    </row>
    <row r="229" spans="14:18" ht="15.75" customHeight="1" x14ac:dyDescent="0.25">
      <c r="N229" s="312"/>
      <c r="O229" s="312"/>
      <c r="Q229" s="386"/>
      <c r="R229" s="386"/>
    </row>
    <row r="230" spans="14:18" ht="15.75" customHeight="1" x14ac:dyDescent="0.25">
      <c r="N230" s="312"/>
      <c r="O230" s="312"/>
      <c r="Q230" s="386"/>
      <c r="R230" s="386"/>
    </row>
    <row r="231" spans="14:18" ht="15.75" customHeight="1" x14ac:dyDescent="0.25">
      <c r="N231" s="312"/>
      <c r="O231" s="312"/>
      <c r="Q231" s="386"/>
      <c r="R231" s="386"/>
    </row>
    <row r="232" spans="14:18" ht="15.75" customHeight="1" x14ac:dyDescent="0.25">
      <c r="N232" s="312"/>
      <c r="O232" s="312"/>
      <c r="Q232" s="386"/>
      <c r="R232" s="386"/>
    </row>
    <row r="233" spans="14:18" ht="15.75" customHeight="1" x14ac:dyDescent="0.25">
      <c r="N233" s="312"/>
      <c r="O233" s="312"/>
      <c r="Q233" s="386"/>
      <c r="R233" s="386"/>
    </row>
    <row r="234" spans="14:18" ht="15.75" customHeight="1" x14ac:dyDescent="0.25">
      <c r="N234" s="312"/>
      <c r="O234" s="312"/>
      <c r="Q234" s="386"/>
      <c r="R234" s="386"/>
    </row>
    <row r="235" spans="14:18" ht="15.75" customHeight="1" x14ac:dyDescent="0.25">
      <c r="N235" s="312"/>
      <c r="O235" s="312"/>
      <c r="Q235" s="386"/>
      <c r="R235" s="386"/>
    </row>
    <row r="236" spans="14:18" ht="15.75" customHeight="1" x14ac:dyDescent="0.25">
      <c r="N236" s="312"/>
      <c r="O236" s="312"/>
      <c r="Q236" s="386"/>
      <c r="R236" s="386"/>
    </row>
    <row r="237" spans="14:18" ht="15.75" customHeight="1" x14ac:dyDescent="0.25">
      <c r="N237" s="312"/>
      <c r="O237" s="312"/>
      <c r="Q237" s="386"/>
      <c r="R237" s="386"/>
    </row>
    <row r="238" spans="14:18" ht="15.75" customHeight="1" x14ac:dyDescent="0.25">
      <c r="N238" s="312"/>
      <c r="O238" s="312"/>
      <c r="Q238" s="386"/>
      <c r="R238" s="386"/>
    </row>
    <row r="239" spans="14:18" ht="15.75" customHeight="1" x14ac:dyDescent="0.25">
      <c r="N239" s="312"/>
      <c r="O239" s="312"/>
      <c r="Q239" s="386"/>
      <c r="R239" s="386"/>
    </row>
    <row r="240" spans="14:18" ht="15.75" customHeight="1" x14ac:dyDescent="0.25">
      <c r="N240" s="312"/>
      <c r="O240" s="312"/>
      <c r="Q240" s="386"/>
      <c r="R240" s="386"/>
    </row>
    <row r="241" spans="14:18" ht="15.75" customHeight="1" x14ac:dyDescent="0.25">
      <c r="N241" s="312"/>
      <c r="O241" s="312"/>
      <c r="Q241" s="386"/>
      <c r="R241" s="386"/>
    </row>
    <row r="242" spans="14:18" ht="15.75" customHeight="1" x14ac:dyDescent="0.25">
      <c r="N242" s="312"/>
      <c r="O242" s="312"/>
      <c r="Q242" s="386"/>
      <c r="R242" s="386"/>
    </row>
    <row r="243" spans="14:18" ht="15.75" customHeight="1" x14ac:dyDescent="0.25">
      <c r="N243" s="312"/>
      <c r="O243" s="312"/>
      <c r="Q243" s="386"/>
      <c r="R243" s="386"/>
    </row>
    <row r="244" spans="14:18" ht="15.75" customHeight="1" x14ac:dyDescent="0.25">
      <c r="N244" s="312"/>
      <c r="O244" s="312"/>
      <c r="Q244" s="386"/>
      <c r="R244" s="386"/>
    </row>
    <row r="245" spans="14:18" ht="15.75" customHeight="1" x14ac:dyDescent="0.25">
      <c r="N245" s="312"/>
      <c r="O245" s="312"/>
      <c r="Q245" s="386"/>
      <c r="R245" s="386"/>
    </row>
    <row r="246" spans="14:18" ht="15.75" customHeight="1" x14ac:dyDescent="0.25">
      <c r="N246" s="312"/>
      <c r="O246" s="312"/>
      <c r="Q246" s="386"/>
      <c r="R246" s="386"/>
    </row>
    <row r="247" spans="14:18" ht="15.75" customHeight="1" x14ac:dyDescent="0.25">
      <c r="N247" s="312"/>
      <c r="O247" s="312"/>
      <c r="Q247" s="386"/>
      <c r="R247" s="386"/>
    </row>
    <row r="248" spans="14:18" ht="15.75" customHeight="1" x14ac:dyDescent="0.25">
      <c r="N248" s="312"/>
      <c r="O248" s="312"/>
      <c r="Q248" s="386"/>
      <c r="R248" s="386"/>
    </row>
    <row r="249" spans="14:18" ht="15.75" customHeight="1" x14ac:dyDescent="0.25">
      <c r="N249" s="312"/>
      <c r="O249" s="312"/>
      <c r="Q249" s="386"/>
      <c r="R249" s="386"/>
    </row>
    <row r="250" spans="14:18" ht="15.75" customHeight="1" x14ac:dyDescent="0.25">
      <c r="N250" s="312"/>
      <c r="O250" s="312"/>
      <c r="Q250" s="386"/>
      <c r="R250" s="386"/>
    </row>
    <row r="251" spans="14:18" ht="15.75" customHeight="1" x14ac:dyDescent="0.25">
      <c r="N251" s="312"/>
      <c r="O251" s="312"/>
      <c r="Q251" s="386"/>
      <c r="R251" s="386"/>
    </row>
    <row r="252" spans="14:18" ht="15.75" customHeight="1" x14ac:dyDescent="0.25">
      <c r="N252" s="312"/>
      <c r="O252" s="312"/>
      <c r="Q252" s="386"/>
      <c r="R252" s="386"/>
    </row>
    <row r="253" spans="14:18" ht="15.75" customHeight="1" x14ac:dyDescent="0.25">
      <c r="N253" s="312"/>
      <c r="O253" s="312"/>
      <c r="Q253" s="386"/>
      <c r="R253" s="386"/>
    </row>
    <row r="254" spans="14:18" ht="15.75" customHeight="1" x14ac:dyDescent="0.25">
      <c r="N254" s="312"/>
      <c r="O254" s="312"/>
      <c r="Q254" s="386"/>
      <c r="R254" s="386"/>
    </row>
    <row r="255" spans="14:18" ht="15.75" customHeight="1" x14ac:dyDescent="0.25">
      <c r="N255" s="312"/>
      <c r="O255" s="312"/>
      <c r="Q255" s="386"/>
      <c r="R255" s="386"/>
    </row>
    <row r="256" spans="14:18" ht="15.75" customHeight="1" x14ac:dyDescent="0.25">
      <c r="N256" s="312"/>
      <c r="O256" s="312"/>
      <c r="Q256" s="386"/>
      <c r="R256" s="386"/>
    </row>
    <row r="257" spans="14:18" ht="15.75" customHeight="1" x14ac:dyDescent="0.25">
      <c r="N257" s="312"/>
      <c r="O257" s="312"/>
      <c r="Q257" s="386"/>
      <c r="R257" s="386"/>
    </row>
    <row r="258" spans="14:18" ht="15.75" customHeight="1" x14ac:dyDescent="0.25">
      <c r="N258" s="312"/>
      <c r="O258" s="312"/>
      <c r="Q258" s="386"/>
      <c r="R258" s="386"/>
    </row>
    <row r="259" spans="14:18" ht="15.75" customHeight="1" x14ac:dyDescent="0.25">
      <c r="N259" s="312"/>
      <c r="O259" s="312"/>
      <c r="Q259" s="386"/>
      <c r="R259" s="386"/>
    </row>
    <row r="260" spans="14:18" ht="15.75" customHeight="1" x14ac:dyDescent="0.25">
      <c r="N260" s="312"/>
      <c r="O260" s="312"/>
      <c r="Q260" s="386"/>
      <c r="R260" s="386"/>
    </row>
    <row r="261" spans="14:18" ht="15.75" customHeight="1" x14ac:dyDescent="0.25">
      <c r="N261" s="312"/>
      <c r="O261" s="312"/>
      <c r="Q261" s="386"/>
      <c r="R261" s="386"/>
    </row>
    <row r="262" spans="14:18" ht="15.75" customHeight="1" x14ac:dyDescent="0.25">
      <c r="N262" s="312"/>
      <c r="O262" s="312"/>
      <c r="Q262" s="386"/>
      <c r="R262" s="386"/>
    </row>
    <row r="263" spans="14:18" ht="15.75" customHeight="1" x14ac:dyDescent="0.25">
      <c r="N263" s="312"/>
      <c r="O263" s="312"/>
      <c r="Q263" s="386"/>
      <c r="R263" s="386"/>
    </row>
    <row r="264" spans="14:18" ht="15.75" customHeight="1" x14ac:dyDescent="0.25">
      <c r="N264" s="312"/>
      <c r="O264" s="312"/>
      <c r="Q264" s="386"/>
      <c r="R264" s="386"/>
    </row>
    <row r="265" spans="14:18" ht="15.75" customHeight="1" x14ac:dyDescent="0.25">
      <c r="N265" s="312"/>
      <c r="O265" s="312"/>
      <c r="Q265" s="386"/>
      <c r="R265" s="386"/>
    </row>
    <row r="266" spans="14:18" ht="15.75" customHeight="1" x14ac:dyDescent="0.25">
      <c r="N266" s="312"/>
      <c r="O266" s="312"/>
      <c r="Q266" s="386"/>
      <c r="R266" s="386"/>
    </row>
    <row r="267" spans="14:18" ht="15.75" customHeight="1" x14ac:dyDescent="0.25">
      <c r="N267" s="312"/>
      <c r="O267" s="312"/>
      <c r="Q267" s="386"/>
      <c r="R267" s="386"/>
    </row>
    <row r="268" spans="14:18" ht="15.75" customHeight="1" x14ac:dyDescent="0.25">
      <c r="N268" s="312"/>
      <c r="O268" s="312"/>
      <c r="Q268" s="386"/>
      <c r="R268" s="386"/>
    </row>
    <row r="269" spans="14:18" ht="15.75" customHeight="1" x14ac:dyDescent="0.25">
      <c r="N269" s="312"/>
      <c r="O269" s="312"/>
      <c r="Q269" s="386"/>
      <c r="R269" s="386"/>
    </row>
    <row r="270" spans="14:18" ht="15.75" customHeight="1" x14ac:dyDescent="0.25">
      <c r="N270" s="312"/>
      <c r="O270" s="312"/>
      <c r="Q270" s="386"/>
      <c r="R270" s="386"/>
    </row>
    <row r="271" spans="14:18" ht="15.75" customHeight="1" x14ac:dyDescent="0.25">
      <c r="N271" s="312"/>
      <c r="O271" s="312"/>
      <c r="Q271" s="386"/>
      <c r="R271" s="386"/>
    </row>
    <row r="272" spans="14:18" ht="15.75" customHeight="1" x14ac:dyDescent="0.25">
      <c r="N272" s="312"/>
      <c r="O272" s="312"/>
      <c r="Q272" s="386"/>
      <c r="R272" s="386"/>
    </row>
    <row r="273" spans="14:18" ht="15.75" customHeight="1" x14ac:dyDescent="0.25">
      <c r="N273" s="312"/>
      <c r="O273" s="312"/>
      <c r="Q273" s="386"/>
      <c r="R273" s="386"/>
    </row>
    <row r="274" spans="14:18" ht="15.75" customHeight="1" x14ac:dyDescent="0.25">
      <c r="N274" s="312"/>
      <c r="O274" s="312"/>
      <c r="Q274" s="386"/>
      <c r="R274" s="386"/>
    </row>
    <row r="275" spans="14:18" ht="15.75" customHeight="1" x14ac:dyDescent="0.25">
      <c r="N275" s="312"/>
      <c r="O275" s="312"/>
      <c r="Q275" s="386"/>
      <c r="R275" s="386"/>
    </row>
    <row r="276" spans="14:18" ht="15.75" customHeight="1" x14ac:dyDescent="0.25">
      <c r="N276" s="312"/>
      <c r="O276" s="312"/>
      <c r="Q276" s="386"/>
      <c r="R276" s="386"/>
    </row>
    <row r="277" spans="14:18" ht="15.75" customHeight="1" x14ac:dyDescent="0.25">
      <c r="N277" s="312"/>
      <c r="O277" s="312"/>
      <c r="Q277" s="386"/>
      <c r="R277" s="386"/>
    </row>
    <row r="278" spans="14:18" ht="15.75" customHeight="1" x14ac:dyDescent="0.25">
      <c r="N278" s="312"/>
      <c r="O278" s="312"/>
      <c r="Q278" s="386"/>
      <c r="R278" s="386"/>
    </row>
    <row r="279" spans="14:18" ht="15.75" customHeight="1" x14ac:dyDescent="0.25">
      <c r="N279" s="312"/>
      <c r="O279" s="312"/>
      <c r="Q279" s="386"/>
      <c r="R279" s="386"/>
    </row>
    <row r="280" spans="14:18" ht="15.75" customHeight="1" x14ac:dyDescent="0.25">
      <c r="N280" s="312"/>
      <c r="O280" s="312"/>
      <c r="Q280" s="386"/>
      <c r="R280" s="386"/>
    </row>
    <row r="281" spans="14:18" ht="15.75" customHeight="1" x14ac:dyDescent="0.25">
      <c r="N281" s="312"/>
      <c r="O281" s="312"/>
      <c r="Q281" s="386"/>
      <c r="R281" s="386"/>
    </row>
    <row r="282" spans="14:18" ht="15.75" customHeight="1" x14ac:dyDescent="0.25">
      <c r="N282" s="312"/>
      <c r="O282" s="312"/>
      <c r="Q282" s="386"/>
      <c r="R282" s="386"/>
    </row>
    <row r="283" spans="14:18" ht="15.75" customHeight="1" x14ac:dyDescent="0.25">
      <c r="N283" s="312"/>
      <c r="O283" s="312"/>
      <c r="Q283" s="386"/>
      <c r="R283" s="386"/>
    </row>
    <row r="284" spans="14:18" ht="15.75" customHeight="1" x14ac:dyDescent="0.25">
      <c r="N284" s="312"/>
      <c r="O284" s="312"/>
      <c r="Q284" s="386"/>
      <c r="R284" s="386"/>
    </row>
    <row r="285" spans="14:18" ht="15.75" customHeight="1" x14ac:dyDescent="0.25">
      <c r="N285" s="312"/>
      <c r="O285" s="312"/>
      <c r="Q285" s="386"/>
      <c r="R285" s="386"/>
    </row>
    <row r="286" spans="14:18" ht="15.75" customHeight="1" x14ac:dyDescent="0.25">
      <c r="N286" s="312"/>
      <c r="O286" s="312"/>
      <c r="Q286" s="386"/>
      <c r="R286" s="386"/>
    </row>
    <row r="287" spans="14:18" ht="15.75" customHeight="1" x14ac:dyDescent="0.25">
      <c r="N287" s="312"/>
      <c r="O287" s="312"/>
      <c r="Q287" s="386"/>
      <c r="R287" s="386"/>
    </row>
    <row r="288" spans="14:18" ht="15.75" customHeight="1" x14ac:dyDescent="0.25">
      <c r="N288" s="312"/>
      <c r="O288" s="312"/>
      <c r="Q288" s="386"/>
      <c r="R288" s="386"/>
    </row>
    <row r="289" spans="14:18" ht="15.75" customHeight="1" x14ac:dyDescent="0.25">
      <c r="N289" s="312"/>
      <c r="O289" s="312"/>
      <c r="Q289" s="386"/>
      <c r="R289" s="386"/>
    </row>
    <row r="290" spans="14:18" ht="15.75" customHeight="1" x14ac:dyDescent="0.25">
      <c r="N290" s="312"/>
      <c r="O290" s="312"/>
      <c r="Q290" s="386"/>
      <c r="R290" s="386"/>
    </row>
    <row r="291" spans="14:18" ht="15.75" customHeight="1" x14ac:dyDescent="0.25">
      <c r="N291" s="312"/>
      <c r="O291" s="312"/>
      <c r="Q291" s="386"/>
      <c r="R291" s="386"/>
    </row>
    <row r="292" spans="14:18" ht="15.75" customHeight="1" x14ac:dyDescent="0.25">
      <c r="N292" s="312"/>
      <c r="O292" s="312"/>
      <c r="Q292" s="386"/>
      <c r="R292" s="386"/>
    </row>
    <row r="293" spans="14:18" ht="15.75" customHeight="1" x14ac:dyDescent="0.25">
      <c r="N293" s="312"/>
      <c r="O293" s="312"/>
      <c r="Q293" s="386"/>
      <c r="R293" s="386"/>
    </row>
    <row r="294" spans="14:18" ht="15.75" customHeight="1" x14ac:dyDescent="0.25">
      <c r="N294" s="312"/>
      <c r="O294" s="312"/>
      <c r="Q294" s="386"/>
      <c r="R294" s="386"/>
    </row>
    <row r="295" spans="14:18" ht="15.75" customHeight="1" x14ac:dyDescent="0.25">
      <c r="N295" s="312"/>
      <c r="O295" s="312"/>
      <c r="Q295" s="386"/>
      <c r="R295" s="386"/>
    </row>
    <row r="296" spans="14:18" ht="15.75" customHeight="1" x14ac:dyDescent="0.25">
      <c r="N296" s="312"/>
      <c r="O296" s="312"/>
      <c r="Q296" s="386"/>
      <c r="R296" s="386"/>
    </row>
    <row r="297" spans="14:18" ht="15.75" customHeight="1" x14ac:dyDescent="0.25">
      <c r="N297" s="312"/>
      <c r="O297" s="312"/>
      <c r="Q297" s="386"/>
      <c r="R297" s="386"/>
    </row>
    <row r="298" spans="14:18" ht="15.75" customHeight="1" x14ac:dyDescent="0.25">
      <c r="N298" s="312"/>
      <c r="O298" s="312"/>
      <c r="Q298" s="386"/>
      <c r="R298" s="386"/>
    </row>
    <row r="299" spans="14:18" ht="15.75" customHeight="1" x14ac:dyDescent="0.25">
      <c r="N299" s="312"/>
      <c r="O299" s="312"/>
      <c r="Q299" s="386"/>
      <c r="R299" s="386"/>
    </row>
    <row r="300" spans="14:18" ht="15.75" customHeight="1" x14ac:dyDescent="0.25">
      <c r="N300" s="312"/>
      <c r="O300" s="312"/>
      <c r="Q300" s="386"/>
      <c r="R300" s="386"/>
    </row>
    <row r="301" spans="14:18" ht="15.75" customHeight="1" x14ac:dyDescent="0.25">
      <c r="N301" s="312"/>
      <c r="O301" s="312"/>
      <c r="Q301" s="386"/>
      <c r="R301" s="386"/>
    </row>
    <row r="302" spans="14:18" ht="15.75" customHeight="1" x14ac:dyDescent="0.25">
      <c r="N302" s="312"/>
      <c r="O302" s="312"/>
      <c r="Q302" s="386"/>
      <c r="R302" s="386"/>
    </row>
    <row r="303" spans="14:18" ht="15.75" customHeight="1" x14ac:dyDescent="0.25">
      <c r="N303" s="312"/>
      <c r="O303" s="312"/>
      <c r="Q303" s="386"/>
      <c r="R303" s="386"/>
    </row>
    <row r="304" spans="14:18" ht="15.75" customHeight="1" x14ac:dyDescent="0.25">
      <c r="N304" s="312"/>
      <c r="O304" s="312"/>
      <c r="Q304" s="386"/>
      <c r="R304" s="386"/>
    </row>
    <row r="305" spans="14:18" ht="15.75" customHeight="1" x14ac:dyDescent="0.25">
      <c r="N305" s="312"/>
      <c r="O305" s="312"/>
      <c r="Q305" s="386"/>
      <c r="R305" s="386"/>
    </row>
    <row r="306" spans="14:18" ht="15.75" customHeight="1" x14ac:dyDescent="0.25">
      <c r="N306" s="312"/>
      <c r="O306" s="312"/>
      <c r="Q306" s="386"/>
      <c r="R306" s="386"/>
    </row>
    <row r="307" spans="14:18" ht="15.75" customHeight="1" x14ac:dyDescent="0.25">
      <c r="N307" s="312"/>
      <c r="O307" s="312"/>
      <c r="Q307" s="386"/>
      <c r="R307" s="386"/>
    </row>
    <row r="308" spans="14:18" ht="15.75" customHeight="1" x14ac:dyDescent="0.25">
      <c r="N308" s="312"/>
      <c r="O308" s="312"/>
      <c r="Q308" s="386"/>
      <c r="R308" s="386"/>
    </row>
    <row r="309" spans="14:18" ht="15.75" customHeight="1" x14ac:dyDescent="0.25">
      <c r="N309" s="312"/>
      <c r="O309" s="312"/>
      <c r="Q309" s="386"/>
      <c r="R309" s="386"/>
    </row>
    <row r="310" spans="14:18" ht="15.75" customHeight="1" x14ac:dyDescent="0.25">
      <c r="N310" s="312"/>
      <c r="O310" s="312"/>
      <c r="Q310" s="386"/>
      <c r="R310" s="386"/>
    </row>
    <row r="311" spans="14:18" ht="15.75" customHeight="1" x14ac:dyDescent="0.25">
      <c r="N311" s="312"/>
      <c r="O311" s="312"/>
      <c r="Q311" s="386"/>
      <c r="R311" s="386"/>
    </row>
    <row r="312" spans="14:18" ht="15.75" customHeight="1" x14ac:dyDescent="0.25">
      <c r="N312" s="312"/>
      <c r="O312" s="312"/>
      <c r="Q312" s="386"/>
      <c r="R312" s="386"/>
    </row>
    <row r="313" spans="14:18" ht="15.75" customHeight="1" x14ac:dyDescent="0.25">
      <c r="N313" s="312"/>
      <c r="O313" s="312"/>
      <c r="Q313" s="386"/>
      <c r="R313" s="386"/>
    </row>
    <row r="314" spans="14:18" ht="15.75" customHeight="1" x14ac:dyDescent="0.25">
      <c r="N314" s="312"/>
      <c r="O314" s="312"/>
      <c r="Q314" s="386"/>
      <c r="R314" s="386"/>
    </row>
    <row r="315" spans="14:18" ht="15.75" customHeight="1" x14ac:dyDescent="0.25">
      <c r="N315" s="312"/>
      <c r="O315" s="312"/>
      <c r="Q315" s="386"/>
      <c r="R315" s="386"/>
    </row>
    <row r="316" spans="14:18" ht="15.75" customHeight="1" x14ac:dyDescent="0.25">
      <c r="N316" s="312"/>
      <c r="O316" s="312"/>
      <c r="Q316" s="386"/>
      <c r="R316" s="386"/>
    </row>
    <row r="317" spans="14:18" ht="15.75" customHeight="1" x14ac:dyDescent="0.25">
      <c r="N317" s="312"/>
      <c r="O317" s="312"/>
      <c r="Q317" s="386"/>
      <c r="R317" s="386"/>
    </row>
    <row r="318" spans="14:18" ht="15.75" customHeight="1" x14ac:dyDescent="0.25">
      <c r="N318" s="312"/>
      <c r="O318" s="312"/>
      <c r="Q318" s="386"/>
      <c r="R318" s="386"/>
    </row>
    <row r="319" spans="14:18" ht="15.75" customHeight="1" x14ac:dyDescent="0.25">
      <c r="N319" s="312"/>
      <c r="O319" s="312"/>
      <c r="Q319" s="386"/>
      <c r="R319" s="386"/>
    </row>
    <row r="320" spans="14:18" ht="15.75" customHeight="1" x14ac:dyDescent="0.25">
      <c r="N320" s="312"/>
      <c r="O320" s="312"/>
      <c r="Q320" s="386"/>
      <c r="R320" s="386"/>
    </row>
    <row r="321" spans="14:18" ht="15.75" customHeight="1" x14ac:dyDescent="0.25">
      <c r="N321" s="312"/>
      <c r="O321" s="312"/>
      <c r="Q321" s="386"/>
      <c r="R321" s="386"/>
    </row>
    <row r="322" spans="14:18" ht="15.75" customHeight="1" x14ac:dyDescent="0.25">
      <c r="N322" s="312"/>
      <c r="O322" s="312"/>
      <c r="Q322" s="386"/>
      <c r="R322" s="386"/>
    </row>
    <row r="323" spans="14:18" ht="15.75" customHeight="1" x14ac:dyDescent="0.25">
      <c r="N323" s="312"/>
      <c r="O323" s="312"/>
      <c r="Q323" s="386"/>
      <c r="R323" s="386"/>
    </row>
    <row r="324" spans="14:18" ht="15.75" customHeight="1" x14ac:dyDescent="0.25">
      <c r="N324" s="312"/>
      <c r="O324" s="312"/>
      <c r="Q324" s="386"/>
      <c r="R324" s="386"/>
    </row>
    <row r="325" spans="14:18" ht="15.75" customHeight="1" x14ac:dyDescent="0.25">
      <c r="N325" s="312"/>
      <c r="O325" s="312"/>
      <c r="Q325" s="386"/>
      <c r="R325" s="386"/>
    </row>
    <row r="326" spans="14:18" ht="15.75" customHeight="1" x14ac:dyDescent="0.25">
      <c r="N326" s="312"/>
      <c r="O326" s="312"/>
      <c r="Q326" s="386"/>
      <c r="R326" s="386"/>
    </row>
    <row r="327" spans="14:18" ht="15.75" customHeight="1" x14ac:dyDescent="0.25">
      <c r="N327" s="312"/>
      <c r="O327" s="312"/>
      <c r="Q327" s="386"/>
      <c r="R327" s="386"/>
    </row>
    <row r="328" spans="14:18" ht="15.75" customHeight="1" x14ac:dyDescent="0.25">
      <c r="N328" s="312"/>
      <c r="O328" s="312"/>
      <c r="Q328" s="386"/>
      <c r="R328" s="386"/>
    </row>
    <row r="329" spans="14:18" ht="15.75" customHeight="1" x14ac:dyDescent="0.25">
      <c r="N329" s="312"/>
      <c r="O329" s="312"/>
      <c r="Q329" s="386"/>
      <c r="R329" s="386"/>
    </row>
    <row r="330" spans="14:18" ht="15.75" customHeight="1" x14ac:dyDescent="0.25">
      <c r="N330" s="312"/>
      <c r="O330" s="312"/>
      <c r="Q330" s="386"/>
      <c r="R330" s="386"/>
    </row>
    <row r="331" spans="14:18" ht="15.75" customHeight="1" x14ac:dyDescent="0.25">
      <c r="N331" s="312"/>
      <c r="O331" s="312"/>
      <c r="Q331" s="386"/>
      <c r="R331" s="386"/>
    </row>
    <row r="332" spans="14:18" ht="15.75" customHeight="1" x14ac:dyDescent="0.25">
      <c r="N332" s="312"/>
      <c r="O332" s="312"/>
      <c r="Q332" s="386"/>
      <c r="R332" s="386"/>
    </row>
    <row r="333" spans="14:18" ht="15.75" customHeight="1" x14ac:dyDescent="0.25">
      <c r="N333" s="312"/>
      <c r="O333" s="312"/>
      <c r="Q333" s="386"/>
      <c r="R333" s="386"/>
    </row>
    <row r="334" spans="14:18" ht="15.75" customHeight="1" x14ac:dyDescent="0.25">
      <c r="N334" s="312"/>
      <c r="O334" s="312"/>
      <c r="Q334" s="386"/>
      <c r="R334" s="386"/>
    </row>
    <row r="335" spans="14:18" ht="15.75" customHeight="1" x14ac:dyDescent="0.25">
      <c r="N335" s="312"/>
      <c r="O335" s="312"/>
      <c r="Q335" s="386"/>
      <c r="R335" s="386"/>
    </row>
    <row r="336" spans="14:18" ht="15.75" customHeight="1" x14ac:dyDescent="0.25">
      <c r="N336" s="312"/>
      <c r="O336" s="312"/>
      <c r="Q336" s="386"/>
      <c r="R336" s="386"/>
    </row>
    <row r="337" spans="14:18" ht="15.75" customHeight="1" x14ac:dyDescent="0.25">
      <c r="N337" s="312"/>
      <c r="O337" s="312"/>
      <c r="Q337" s="386"/>
      <c r="R337" s="386"/>
    </row>
    <row r="338" spans="14:18" ht="15.75" customHeight="1" x14ac:dyDescent="0.25">
      <c r="N338" s="312"/>
      <c r="O338" s="312"/>
      <c r="Q338" s="386"/>
      <c r="R338" s="386"/>
    </row>
    <row r="339" spans="14:18" ht="15.75" customHeight="1" x14ac:dyDescent="0.25">
      <c r="N339" s="312"/>
      <c r="O339" s="312"/>
      <c r="Q339" s="386"/>
      <c r="R339" s="386"/>
    </row>
    <row r="340" spans="14:18" ht="15.75" customHeight="1" x14ac:dyDescent="0.25">
      <c r="N340" s="312"/>
      <c r="O340" s="312"/>
      <c r="Q340" s="386"/>
      <c r="R340" s="386"/>
    </row>
    <row r="341" spans="14:18" ht="15.75" customHeight="1" x14ac:dyDescent="0.25">
      <c r="N341" s="312"/>
      <c r="O341" s="312"/>
      <c r="Q341" s="386"/>
      <c r="R341" s="386"/>
    </row>
    <row r="342" spans="14:18" ht="15.75" customHeight="1" x14ac:dyDescent="0.25">
      <c r="N342" s="312"/>
      <c r="O342" s="312"/>
      <c r="Q342" s="386"/>
      <c r="R342" s="386"/>
    </row>
    <row r="343" spans="14:18" ht="15.75" customHeight="1" x14ac:dyDescent="0.25">
      <c r="N343" s="312"/>
      <c r="O343" s="312"/>
      <c r="Q343" s="386"/>
      <c r="R343" s="386"/>
    </row>
    <row r="344" spans="14:18" ht="15.75" customHeight="1" x14ac:dyDescent="0.25">
      <c r="N344" s="312"/>
      <c r="O344" s="312"/>
      <c r="Q344" s="386"/>
      <c r="R344" s="386"/>
    </row>
    <row r="345" spans="14:18" ht="15.75" customHeight="1" x14ac:dyDescent="0.25">
      <c r="N345" s="312"/>
      <c r="O345" s="312"/>
      <c r="Q345" s="386"/>
      <c r="R345" s="386"/>
    </row>
    <row r="346" spans="14:18" ht="15.75" customHeight="1" x14ac:dyDescent="0.25">
      <c r="N346" s="312"/>
      <c r="O346" s="312"/>
      <c r="Q346" s="386"/>
      <c r="R346" s="386"/>
    </row>
    <row r="347" spans="14:18" ht="15.75" customHeight="1" x14ac:dyDescent="0.25">
      <c r="N347" s="312"/>
      <c r="O347" s="312"/>
      <c r="Q347" s="386"/>
      <c r="R347" s="386"/>
    </row>
    <row r="348" spans="14:18" ht="15.75" customHeight="1" x14ac:dyDescent="0.25">
      <c r="N348" s="312"/>
      <c r="O348" s="312"/>
      <c r="Q348" s="386"/>
      <c r="R348" s="386"/>
    </row>
    <row r="349" spans="14:18" ht="15.75" customHeight="1" x14ac:dyDescent="0.25">
      <c r="N349" s="312"/>
      <c r="O349" s="312"/>
      <c r="Q349" s="386"/>
      <c r="R349" s="386"/>
    </row>
    <row r="350" spans="14:18" ht="15.75" customHeight="1" x14ac:dyDescent="0.25">
      <c r="N350" s="312"/>
      <c r="O350" s="312"/>
      <c r="Q350" s="386"/>
      <c r="R350" s="386"/>
    </row>
    <row r="351" spans="14:18" ht="15.75" customHeight="1" x14ac:dyDescent="0.25">
      <c r="N351" s="312"/>
      <c r="O351" s="312"/>
      <c r="Q351" s="386"/>
      <c r="R351" s="386"/>
    </row>
    <row r="352" spans="14:18" ht="15.75" customHeight="1" x14ac:dyDescent="0.25">
      <c r="N352" s="312"/>
      <c r="O352" s="312"/>
      <c r="Q352" s="386"/>
      <c r="R352" s="386"/>
    </row>
    <row r="353" spans="14:18" ht="15.75" customHeight="1" x14ac:dyDescent="0.25">
      <c r="N353" s="312"/>
      <c r="O353" s="312"/>
      <c r="Q353" s="386"/>
      <c r="R353" s="386"/>
    </row>
    <row r="354" spans="14:18" ht="15.75" customHeight="1" x14ac:dyDescent="0.25">
      <c r="N354" s="312"/>
      <c r="O354" s="312"/>
      <c r="Q354" s="386"/>
      <c r="R354" s="386"/>
    </row>
    <row r="355" spans="14:18" ht="15.75" customHeight="1" x14ac:dyDescent="0.25">
      <c r="N355" s="312"/>
      <c r="O355" s="312"/>
      <c r="Q355" s="386"/>
      <c r="R355" s="386"/>
    </row>
    <row r="356" spans="14:18" ht="15.75" customHeight="1" x14ac:dyDescent="0.25">
      <c r="N356" s="312"/>
      <c r="O356" s="312"/>
      <c r="Q356" s="386"/>
      <c r="R356" s="386"/>
    </row>
    <row r="357" spans="14:18" ht="15.75" customHeight="1" x14ac:dyDescent="0.25">
      <c r="N357" s="312"/>
      <c r="O357" s="312"/>
      <c r="Q357" s="386"/>
      <c r="R357" s="386"/>
    </row>
    <row r="358" spans="14:18" ht="15.75" customHeight="1" x14ac:dyDescent="0.25">
      <c r="N358" s="312"/>
      <c r="O358" s="312"/>
      <c r="Q358" s="386"/>
      <c r="R358" s="386"/>
    </row>
    <row r="359" spans="14:18" ht="15.75" customHeight="1" x14ac:dyDescent="0.25">
      <c r="N359" s="312"/>
      <c r="O359" s="312"/>
      <c r="Q359" s="386"/>
      <c r="R359" s="386"/>
    </row>
    <row r="360" spans="14:18" ht="15.75" customHeight="1" x14ac:dyDescent="0.25">
      <c r="N360" s="312"/>
      <c r="O360" s="312"/>
      <c r="Q360" s="386"/>
      <c r="R360" s="386"/>
    </row>
    <row r="361" spans="14:18" ht="15.75" customHeight="1" x14ac:dyDescent="0.25">
      <c r="N361" s="312"/>
      <c r="O361" s="312"/>
      <c r="Q361" s="386"/>
      <c r="R361" s="386"/>
    </row>
    <row r="362" spans="14:18" ht="15.75" customHeight="1" x14ac:dyDescent="0.25">
      <c r="N362" s="312"/>
      <c r="O362" s="312"/>
      <c r="Q362" s="386"/>
      <c r="R362" s="386"/>
    </row>
    <row r="363" spans="14:18" ht="15.75" customHeight="1" x14ac:dyDescent="0.25">
      <c r="N363" s="312"/>
      <c r="O363" s="312"/>
      <c r="Q363" s="386"/>
      <c r="R363" s="386"/>
    </row>
    <row r="364" spans="14:18" ht="15.75" customHeight="1" x14ac:dyDescent="0.25">
      <c r="N364" s="312"/>
      <c r="O364" s="312"/>
      <c r="Q364" s="386"/>
      <c r="R364" s="386"/>
    </row>
    <row r="365" spans="14:18" ht="15.75" customHeight="1" x14ac:dyDescent="0.25">
      <c r="N365" s="312"/>
      <c r="O365" s="312"/>
      <c r="Q365" s="386"/>
      <c r="R365" s="386"/>
    </row>
    <row r="366" spans="14:18" ht="15.75" customHeight="1" x14ac:dyDescent="0.25">
      <c r="N366" s="312"/>
      <c r="O366" s="312"/>
      <c r="Q366" s="386"/>
      <c r="R366" s="386"/>
    </row>
    <row r="367" spans="14:18" ht="15.75" customHeight="1" x14ac:dyDescent="0.25">
      <c r="N367" s="312"/>
      <c r="O367" s="312"/>
      <c r="Q367" s="386"/>
      <c r="R367" s="386"/>
    </row>
    <row r="368" spans="14:18" ht="15.75" customHeight="1" x14ac:dyDescent="0.25">
      <c r="N368" s="312"/>
      <c r="O368" s="312"/>
      <c r="Q368" s="386"/>
      <c r="R368" s="386"/>
    </row>
    <row r="369" spans="14:18" ht="15.75" customHeight="1" x14ac:dyDescent="0.25">
      <c r="N369" s="312"/>
      <c r="O369" s="312"/>
      <c r="Q369" s="386"/>
      <c r="R369" s="386"/>
    </row>
    <row r="370" spans="14:18" ht="15.75" customHeight="1" x14ac:dyDescent="0.25">
      <c r="N370" s="312"/>
      <c r="O370" s="312"/>
      <c r="Q370" s="386"/>
      <c r="R370" s="386"/>
    </row>
    <row r="371" spans="14:18" ht="15.75" customHeight="1" x14ac:dyDescent="0.25">
      <c r="N371" s="312"/>
      <c r="O371" s="312"/>
      <c r="Q371" s="386"/>
      <c r="R371" s="386"/>
    </row>
    <row r="372" spans="14:18" ht="15.75" customHeight="1" x14ac:dyDescent="0.25">
      <c r="N372" s="312"/>
      <c r="O372" s="312"/>
      <c r="Q372" s="386"/>
      <c r="R372" s="386"/>
    </row>
    <row r="373" spans="14:18" ht="15.75" customHeight="1" x14ac:dyDescent="0.25">
      <c r="N373" s="312"/>
      <c r="O373" s="312"/>
      <c r="Q373" s="386"/>
      <c r="R373" s="386"/>
    </row>
    <row r="374" spans="14:18" ht="15.75" customHeight="1" x14ac:dyDescent="0.25">
      <c r="N374" s="312"/>
      <c r="O374" s="312"/>
      <c r="Q374" s="386"/>
      <c r="R374" s="386"/>
    </row>
    <row r="375" spans="14:18" ht="15.75" customHeight="1" x14ac:dyDescent="0.25">
      <c r="N375" s="312"/>
      <c r="O375" s="312"/>
      <c r="Q375" s="386"/>
      <c r="R375" s="386"/>
    </row>
    <row r="376" spans="14:18" ht="15.75" customHeight="1" x14ac:dyDescent="0.25">
      <c r="N376" s="312"/>
      <c r="O376" s="312"/>
      <c r="Q376" s="386"/>
      <c r="R376" s="386"/>
    </row>
    <row r="377" spans="14:18" ht="15.75" customHeight="1" x14ac:dyDescent="0.25">
      <c r="N377" s="312"/>
      <c r="O377" s="312"/>
      <c r="Q377" s="386"/>
      <c r="R377" s="386"/>
    </row>
    <row r="378" spans="14:18" ht="15.75" customHeight="1" x14ac:dyDescent="0.25">
      <c r="N378" s="312"/>
      <c r="O378" s="312"/>
      <c r="Q378" s="386"/>
      <c r="R378" s="386"/>
    </row>
    <row r="379" spans="14:18" ht="15.75" customHeight="1" x14ac:dyDescent="0.25">
      <c r="N379" s="312"/>
      <c r="O379" s="312"/>
      <c r="Q379" s="386"/>
      <c r="R379" s="386"/>
    </row>
    <row r="380" spans="14:18" ht="15.75" customHeight="1" x14ac:dyDescent="0.25">
      <c r="N380" s="312"/>
      <c r="O380" s="312"/>
      <c r="Q380" s="386"/>
      <c r="R380" s="386"/>
    </row>
    <row r="381" spans="14:18" ht="15.75" customHeight="1" x14ac:dyDescent="0.25">
      <c r="N381" s="312"/>
      <c r="O381" s="312"/>
      <c r="Q381" s="386"/>
      <c r="R381" s="386"/>
    </row>
    <row r="382" spans="14:18" ht="15.75" customHeight="1" x14ac:dyDescent="0.25">
      <c r="N382" s="312"/>
      <c r="O382" s="312"/>
      <c r="Q382" s="386"/>
      <c r="R382" s="386"/>
    </row>
    <row r="383" spans="14:18" ht="15.75" customHeight="1" x14ac:dyDescent="0.25">
      <c r="N383" s="312"/>
      <c r="O383" s="312"/>
      <c r="Q383" s="386"/>
      <c r="R383" s="386"/>
    </row>
    <row r="384" spans="14:18" ht="15.75" customHeight="1" x14ac:dyDescent="0.25">
      <c r="N384" s="312"/>
      <c r="O384" s="312"/>
      <c r="Q384" s="386"/>
      <c r="R384" s="386"/>
    </row>
    <row r="385" spans="14:18" ht="15.75" customHeight="1" x14ac:dyDescent="0.25">
      <c r="N385" s="312"/>
      <c r="O385" s="312"/>
      <c r="Q385" s="386"/>
      <c r="R385" s="386"/>
    </row>
    <row r="386" spans="14:18" ht="15.75" customHeight="1" x14ac:dyDescent="0.25">
      <c r="N386" s="312"/>
      <c r="O386" s="312"/>
      <c r="Q386" s="386"/>
      <c r="R386" s="386"/>
    </row>
    <row r="387" spans="14:18" ht="15.75" customHeight="1" x14ac:dyDescent="0.25">
      <c r="N387" s="312"/>
      <c r="O387" s="312"/>
      <c r="Q387" s="386"/>
      <c r="R387" s="386"/>
    </row>
    <row r="388" spans="14:18" ht="15.75" customHeight="1" x14ac:dyDescent="0.25">
      <c r="N388" s="312"/>
      <c r="O388" s="312"/>
      <c r="Q388" s="386"/>
      <c r="R388" s="386"/>
    </row>
    <row r="389" spans="14:18" ht="15.75" customHeight="1" x14ac:dyDescent="0.25">
      <c r="N389" s="312"/>
      <c r="O389" s="312"/>
      <c r="Q389" s="386"/>
      <c r="R389" s="386"/>
    </row>
    <row r="390" spans="14:18" ht="15.75" customHeight="1" x14ac:dyDescent="0.25">
      <c r="N390" s="312"/>
      <c r="O390" s="312"/>
      <c r="Q390" s="386"/>
      <c r="R390" s="386"/>
    </row>
    <row r="391" spans="14:18" ht="15.75" customHeight="1" x14ac:dyDescent="0.25">
      <c r="N391" s="312"/>
      <c r="O391" s="312"/>
      <c r="Q391" s="386"/>
      <c r="R391" s="386"/>
    </row>
    <row r="392" spans="14:18" ht="15.75" customHeight="1" x14ac:dyDescent="0.25">
      <c r="N392" s="312"/>
      <c r="O392" s="312"/>
      <c r="Q392" s="386"/>
      <c r="R392" s="386"/>
    </row>
    <row r="393" spans="14:18" ht="15.75" customHeight="1" x14ac:dyDescent="0.25">
      <c r="N393" s="312"/>
      <c r="O393" s="312"/>
      <c r="Q393" s="386"/>
      <c r="R393" s="386"/>
    </row>
    <row r="394" spans="14:18" ht="15.75" customHeight="1" x14ac:dyDescent="0.25">
      <c r="N394" s="312"/>
      <c r="O394" s="312"/>
      <c r="Q394" s="386"/>
      <c r="R394" s="386"/>
    </row>
    <row r="395" spans="14:18" ht="15.75" customHeight="1" x14ac:dyDescent="0.25">
      <c r="N395" s="312"/>
      <c r="O395" s="312"/>
      <c r="Q395" s="386"/>
      <c r="R395" s="386"/>
    </row>
    <row r="396" spans="14:18" ht="15.75" customHeight="1" x14ac:dyDescent="0.25">
      <c r="N396" s="312"/>
      <c r="O396" s="312"/>
      <c r="Q396" s="386"/>
      <c r="R396" s="386"/>
    </row>
    <row r="397" spans="14:18" ht="15.75" customHeight="1" x14ac:dyDescent="0.25">
      <c r="N397" s="312"/>
      <c r="O397" s="312"/>
      <c r="Q397" s="386"/>
      <c r="R397" s="386"/>
    </row>
    <row r="398" spans="14:18" ht="15.75" customHeight="1" x14ac:dyDescent="0.25">
      <c r="N398" s="312"/>
      <c r="O398" s="312"/>
      <c r="Q398" s="386"/>
      <c r="R398" s="386"/>
    </row>
    <row r="399" spans="14:18" ht="15.75" customHeight="1" x14ac:dyDescent="0.25">
      <c r="N399" s="312"/>
      <c r="O399" s="312"/>
      <c r="Q399" s="386"/>
      <c r="R399" s="386"/>
    </row>
    <row r="400" spans="14:18" ht="15.75" customHeight="1" x14ac:dyDescent="0.25">
      <c r="N400" s="312"/>
      <c r="O400" s="312"/>
      <c r="Q400" s="386"/>
      <c r="R400" s="386"/>
    </row>
    <row r="401" spans="14:18" ht="15.75" customHeight="1" x14ac:dyDescent="0.25">
      <c r="N401" s="312"/>
      <c r="O401" s="312"/>
      <c r="Q401" s="386"/>
      <c r="R401" s="386"/>
    </row>
    <row r="402" spans="14:18" ht="15.75" customHeight="1" x14ac:dyDescent="0.25">
      <c r="N402" s="312"/>
      <c r="O402" s="312"/>
      <c r="Q402" s="386"/>
      <c r="R402" s="386"/>
    </row>
    <row r="403" spans="14:18" ht="15.75" customHeight="1" x14ac:dyDescent="0.25">
      <c r="N403" s="312"/>
      <c r="O403" s="312"/>
      <c r="Q403" s="386"/>
      <c r="R403" s="386"/>
    </row>
    <row r="404" spans="14:18" ht="15.75" customHeight="1" x14ac:dyDescent="0.25">
      <c r="N404" s="312"/>
      <c r="O404" s="312"/>
      <c r="Q404" s="386"/>
      <c r="R404" s="386"/>
    </row>
    <row r="405" spans="14:18" ht="15.75" customHeight="1" x14ac:dyDescent="0.25">
      <c r="N405" s="312"/>
      <c r="O405" s="312"/>
      <c r="Q405" s="386"/>
      <c r="R405" s="386"/>
    </row>
    <row r="406" spans="14:18" ht="15.75" customHeight="1" x14ac:dyDescent="0.25">
      <c r="N406" s="312"/>
      <c r="O406" s="312"/>
      <c r="Q406" s="386"/>
      <c r="R406" s="386"/>
    </row>
    <row r="407" spans="14:18" ht="15.75" customHeight="1" x14ac:dyDescent="0.25">
      <c r="N407" s="312"/>
      <c r="O407" s="312"/>
      <c r="Q407" s="386"/>
      <c r="R407" s="386"/>
    </row>
    <row r="408" spans="14:18" ht="15.75" customHeight="1" x14ac:dyDescent="0.25">
      <c r="N408" s="312"/>
      <c r="O408" s="312"/>
      <c r="Q408" s="386"/>
      <c r="R408" s="386"/>
    </row>
    <row r="409" spans="14:18" ht="15.75" customHeight="1" x14ac:dyDescent="0.25">
      <c r="N409" s="312"/>
      <c r="O409" s="312"/>
      <c r="Q409" s="386"/>
      <c r="R409" s="386"/>
    </row>
    <row r="410" spans="14:18" ht="15.75" customHeight="1" x14ac:dyDescent="0.25">
      <c r="N410" s="312"/>
      <c r="O410" s="312"/>
      <c r="Q410" s="386"/>
      <c r="R410" s="386"/>
    </row>
    <row r="411" spans="14:18" ht="15.75" customHeight="1" x14ac:dyDescent="0.25">
      <c r="N411" s="312"/>
      <c r="O411" s="312"/>
      <c r="Q411" s="386"/>
      <c r="R411" s="386"/>
    </row>
    <row r="412" spans="14:18" ht="15.75" customHeight="1" x14ac:dyDescent="0.25">
      <c r="N412" s="312"/>
      <c r="O412" s="312"/>
      <c r="Q412" s="386"/>
      <c r="R412" s="386"/>
    </row>
    <row r="413" spans="14:18" ht="15.75" customHeight="1" x14ac:dyDescent="0.25">
      <c r="N413" s="312"/>
      <c r="O413" s="312"/>
      <c r="Q413" s="386"/>
      <c r="R413" s="386"/>
    </row>
    <row r="414" spans="14:18" ht="15.75" customHeight="1" x14ac:dyDescent="0.25">
      <c r="N414" s="312"/>
      <c r="O414" s="312"/>
      <c r="Q414" s="386"/>
      <c r="R414" s="386"/>
    </row>
    <row r="415" spans="14:18" ht="15.75" customHeight="1" x14ac:dyDescent="0.25">
      <c r="N415" s="312"/>
      <c r="O415" s="312"/>
      <c r="Q415" s="386"/>
      <c r="R415" s="386"/>
    </row>
    <row r="416" spans="14:18" ht="15.75" customHeight="1" x14ac:dyDescent="0.25">
      <c r="N416" s="312"/>
      <c r="O416" s="312"/>
      <c r="Q416" s="386"/>
      <c r="R416" s="386"/>
    </row>
    <row r="417" spans="14:18" ht="15.75" customHeight="1" x14ac:dyDescent="0.25">
      <c r="N417" s="312"/>
      <c r="O417" s="312"/>
      <c r="Q417" s="386"/>
      <c r="R417" s="386"/>
    </row>
    <row r="418" spans="14:18" ht="15.75" customHeight="1" x14ac:dyDescent="0.25">
      <c r="N418" s="312"/>
      <c r="O418" s="312"/>
      <c r="Q418" s="386"/>
      <c r="R418" s="386"/>
    </row>
    <row r="419" spans="14:18" ht="15.75" customHeight="1" x14ac:dyDescent="0.25">
      <c r="N419" s="312"/>
      <c r="O419" s="312"/>
      <c r="Q419" s="386"/>
      <c r="R419" s="386"/>
    </row>
    <row r="420" spans="14:18" ht="15.75" customHeight="1" x14ac:dyDescent="0.25">
      <c r="N420" s="312"/>
      <c r="O420" s="312"/>
      <c r="Q420" s="386"/>
      <c r="R420" s="386"/>
    </row>
    <row r="421" spans="14:18" ht="15.75" customHeight="1" x14ac:dyDescent="0.25">
      <c r="N421" s="312"/>
      <c r="O421" s="312"/>
      <c r="Q421" s="386"/>
      <c r="R421" s="386"/>
    </row>
    <row r="422" spans="14:18" ht="15.75" customHeight="1" x14ac:dyDescent="0.25">
      <c r="N422" s="312"/>
      <c r="O422" s="312"/>
      <c r="Q422" s="386"/>
      <c r="R422" s="386"/>
    </row>
    <row r="423" spans="14:18" ht="15.75" customHeight="1" x14ac:dyDescent="0.25">
      <c r="N423" s="312"/>
      <c r="O423" s="312"/>
      <c r="Q423" s="386"/>
      <c r="R423" s="386"/>
    </row>
    <row r="424" spans="14:18" ht="15.75" customHeight="1" x14ac:dyDescent="0.25">
      <c r="N424" s="312"/>
      <c r="O424" s="312"/>
      <c r="Q424" s="386"/>
      <c r="R424" s="386"/>
    </row>
    <row r="425" spans="14:18" ht="15.75" customHeight="1" x14ac:dyDescent="0.25">
      <c r="N425" s="312"/>
      <c r="O425" s="312"/>
      <c r="Q425" s="386"/>
      <c r="R425" s="386"/>
    </row>
    <row r="426" spans="14:18" ht="15.75" customHeight="1" x14ac:dyDescent="0.25">
      <c r="N426" s="312"/>
      <c r="O426" s="312"/>
      <c r="Q426" s="386"/>
      <c r="R426" s="386"/>
    </row>
    <row r="427" spans="14:18" ht="15.75" customHeight="1" x14ac:dyDescent="0.25">
      <c r="N427" s="312"/>
      <c r="O427" s="312"/>
      <c r="Q427" s="386"/>
      <c r="R427" s="386"/>
    </row>
    <row r="428" spans="14:18" ht="15.75" customHeight="1" x14ac:dyDescent="0.25">
      <c r="N428" s="312"/>
      <c r="O428" s="312"/>
      <c r="Q428" s="386"/>
      <c r="R428" s="386"/>
    </row>
    <row r="429" spans="14:18" ht="15.75" customHeight="1" x14ac:dyDescent="0.25">
      <c r="N429" s="312"/>
      <c r="O429" s="312"/>
      <c r="Q429" s="386"/>
      <c r="R429" s="386"/>
    </row>
    <row r="430" spans="14:18" ht="15.75" customHeight="1" x14ac:dyDescent="0.25">
      <c r="N430" s="312"/>
      <c r="O430" s="312"/>
      <c r="Q430" s="386"/>
      <c r="R430" s="386"/>
    </row>
    <row r="431" spans="14:18" ht="15.75" customHeight="1" x14ac:dyDescent="0.25">
      <c r="N431" s="312"/>
      <c r="O431" s="312"/>
      <c r="Q431" s="386"/>
      <c r="R431" s="386"/>
    </row>
    <row r="432" spans="14:18" ht="15.75" customHeight="1" x14ac:dyDescent="0.25">
      <c r="N432" s="312"/>
      <c r="O432" s="312"/>
      <c r="Q432" s="386"/>
      <c r="R432" s="386"/>
    </row>
    <row r="433" spans="14:18" ht="15.75" customHeight="1" x14ac:dyDescent="0.25">
      <c r="N433" s="312"/>
      <c r="O433" s="312"/>
      <c r="Q433" s="386"/>
      <c r="R433" s="386"/>
    </row>
    <row r="434" spans="14:18" ht="15.75" customHeight="1" x14ac:dyDescent="0.25">
      <c r="N434" s="312"/>
      <c r="O434" s="312"/>
      <c r="Q434" s="386"/>
      <c r="R434" s="386"/>
    </row>
    <row r="435" spans="14:18" ht="15.75" customHeight="1" x14ac:dyDescent="0.25">
      <c r="N435" s="312"/>
      <c r="O435" s="312"/>
      <c r="Q435" s="386"/>
      <c r="R435" s="386"/>
    </row>
    <row r="436" spans="14:18" ht="15.75" customHeight="1" x14ac:dyDescent="0.25">
      <c r="N436" s="312"/>
      <c r="O436" s="312"/>
      <c r="Q436" s="386"/>
      <c r="R436" s="386"/>
    </row>
    <row r="437" spans="14:18" ht="15.75" customHeight="1" x14ac:dyDescent="0.25">
      <c r="N437" s="312"/>
      <c r="O437" s="312"/>
      <c r="Q437" s="386"/>
      <c r="R437" s="386"/>
    </row>
    <row r="438" spans="14:18" ht="15.75" customHeight="1" x14ac:dyDescent="0.25">
      <c r="N438" s="312"/>
      <c r="O438" s="312"/>
      <c r="Q438" s="386"/>
      <c r="R438" s="386"/>
    </row>
    <row r="439" spans="14:18" ht="15.75" customHeight="1" x14ac:dyDescent="0.25">
      <c r="N439" s="312"/>
      <c r="O439" s="312"/>
      <c r="Q439" s="386"/>
      <c r="R439" s="386"/>
    </row>
    <row r="440" spans="14:18" ht="15.75" customHeight="1" x14ac:dyDescent="0.25">
      <c r="N440" s="312"/>
      <c r="O440" s="312"/>
      <c r="Q440" s="386"/>
      <c r="R440" s="386"/>
    </row>
    <row r="441" spans="14:18" ht="15.75" customHeight="1" x14ac:dyDescent="0.25">
      <c r="N441" s="312"/>
      <c r="O441" s="312"/>
      <c r="Q441" s="386"/>
      <c r="R441" s="386"/>
    </row>
    <row r="442" spans="14:18" ht="15.75" customHeight="1" x14ac:dyDescent="0.25">
      <c r="N442" s="312"/>
      <c r="O442" s="312"/>
      <c r="Q442" s="386"/>
      <c r="R442" s="386"/>
    </row>
    <row r="443" spans="14:18" ht="15.75" customHeight="1" x14ac:dyDescent="0.25">
      <c r="N443" s="312"/>
      <c r="O443" s="312"/>
      <c r="Q443" s="386"/>
      <c r="R443" s="386"/>
    </row>
    <row r="444" spans="14:18" ht="15.75" customHeight="1" x14ac:dyDescent="0.25">
      <c r="N444" s="312"/>
      <c r="O444" s="312"/>
      <c r="Q444" s="386"/>
      <c r="R444" s="386"/>
    </row>
    <row r="445" spans="14:18" ht="15.75" customHeight="1" x14ac:dyDescent="0.25">
      <c r="N445" s="312"/>
      <c r="O445" s="312"/>
      <c r="Q445" s="386"/>
      <c r="R445" s="386"/>
    </row>
    <row r="446" spans="14:18" ht="15.75" customHeight="1" x14ac:dyDescent="0.25">
      <c r="N446" s="312"/>
      <c r="O446" s="312"/>
      <c r="Q446" s="386"/>
      <c r="R446" s="386"/>
    </row>
    <row r="447" spans="14:18" ht="15.75" customHeight="1" x14ac:dyDescent="0.25">
      <c r="N447" s="312"/>
      <c r="O447" s="312"/>
      <c r="Q447" s="386"/>
      <c r="R447" s="386"/>
    </row>
    <row r="448" spans="14:18" ht="15.75" customHeight="1" x14ac:dyDescent="0.25">
      <c r="N448" s="312"/>
      <c r="O448" s="312"/>
      <c r="Q448" s="386"/>
      <c r="R448" s="386"/>
    </row>
    <row r="449" spans="14:18" ht="15.75" customHeight="1" x14ac:dyDescent="0.25">
      <c r="N449" s="312"/>
      <c r="O449" s="312"/>
      <c r="Q449" s="386"/>
      <c r="R449" s="386"/>
    </row>
    <row r="450" spans="14:18" ht="15.75" customHeight="1" x14ac:dyDescent="0.25">
      <c r="N450" s="312"/>
      <c r="O450" s="312"/>
      <c r="Q450" s="386"/>
      <c r="R450" s="386"/>
    </row>
    <row r="451" spans="14:18" ht="15.75" customHeight="1" x14ac:dyDescent="0.25">
      <c r="N451" s="312"/>
      <c r="O451" s="312"/>
      <c r="Q451" s="386"/>
      <c r="R451" s="386"/>
    </row>
    <row r="452" spans="14:18" ht="15.75" customHeight="1" x14ac:dyDescent="0.25">
      <c r="N452" s="312"/>
      <c r="O452" s="312"/>
      <c r="Q452" s="386"/>
      <c r="R452" s="386"/>
    </row>
    <row r="453" spans="14:18" ht="15.75" customHeight="1" x14ac:dyDescent="0.25">
      <c r="N453" s="312"/>
      <c r="O453" s="312"/>
      <c r="Q453" s="386"/>
      <c r="R453" s="386"/>
    </row>
    <row r="454" spans="14:18" ht="15.75" customHeight="1" x14ac:dyDescent="0.25">
      <c r="N454" s="312"/>
      <c r="O454" s="312"/>
      <c r="Q454" s="386"/>
      <c r="R454" s="386"/>
    </row>
    <row r="455" spans="14:18" ht="15.75" customHeight="1" x14ac:dyDescent="0.25">
      <c r="N455" s="312"/>
      <c r="O455" s="312"/>
      <c r="Q455" s="386"/>
      <c r="R455" s="386"/>
    </row>
    <row r="456" spans="14:18" ht="15.75" customHeight="1" x14ac:dyDescent="0.25">
      <c r="N456" s="312"/>
      <c r="O456" s="312"/>
      <c r="Q456" s="386"/>
      <c r="R456" s="386"/>
    </row>
    <row r="457" spans="14:18" ht="15.75" customHeight="1" x14ac:dyDescent="0.25">
      <c r="N457" s="312"/>
      <c r="O457" s="312"/>
      <c r="Q457" s="386"/>
      <c r="R457" s="386"/>
    </row>
    <row r="458" spans="14:18" ht="15.75" customHeight="1" x14ac:dyDescent="0.25">
      <c r="N458" s="312"/>
      <c r="O458" s="312"/>
      <c r="Q458" s="386"/>
      <c r="R458" s="386"/>
    </row>
    <row r="459" spans="14:18" ht="15.75" customHeight="1" x14ac:dyDescent="0.25">
      <c r="N459" s="312"/>
      <c r="O459" s="312"/>
      <c r="Q459" s="386"/>
      <c r="R459" s="386"/>
    </row>
    <row r="460" spans="14:18" ht="15.75" customHeight="1" x14ac:dyDescent="0.25">
      <c r="N460" s="312"/>
      <c r="O460" s="312"/>
      <c r="Q460" s="386"/>
      <c r="R460" s="386"/>
    </row>
    <row r="461" spans="14:18" ht="15.75" customHeight="1" x14ac:dyDescent="0.25">
      <c r="N461" s="312"/>
      <c r="O461" s="312"/>
      <c r="Q461" s="386"/>
      <c r="R461" s="386"/>
    </row>
    <row r="462" spans="14:18" ht="15.75" customHeight="1" x14ac:dyDescent="0.25">
      <c r="N462" s="312"/>
      <c r="O462" s="312"/>
      <c r="Q462" s="386"/>
      <c r="R462" s="386"/>
    </row>
    <row r="463" spans="14:18" ht="15.75" customHeight="1" x14ac:dyDescent="0.25">
      <c r="N463" s="312"/>
      <c r="O463" s="312"/>
      <c r="Q463" s="386"/>
      <c r="R463" s="386"/>
    </row>
    <row r="464" spans="14:18" ht="15.75" customHeight="1" x14ac:dyDescent="0.25">
      <c r="N464" s="312"/>
      <c r="O464" s="312"/>
      <c r="Q464" s="386"/>
      <c r="R464" s="386"/>
    </row>
    <row r="465" spans="14:18" ht="15.75" customHeight="1" x14ac:dyDescent="0.25">
      <c r="N465" s="312"/>
      <c r="O465" s="312"/>
      <c r="Q465" s="386"/>
      <c r="R465" s="386"/>
    </row>
    <row r="466" spans="14:18" ht="15.75" customHeight="1" x14ac:dyDescent="0.25">
      <c r="N466" s="312"/>
      <c r="O466" s="312"/>
      <c r="Q466" s="386"/>
      <c r="R466" s="386"/>
    </row>
    <row r="467" spans="14:18" ht="15.75" customHeight="1" x14ac:dyDescent="0.25">
      <c r="N467" s="312"/>
      <c r="O467" s="312"/>
      <c r="Q467" s="386"/>
      <c r="R467" s="386"/>
    </row>
    <row r="468" spans="14:18" ht="15.75" customHeight="1" x14ac:dyDescent="0.25">
      <c r="N468" s="312"/>
      <c r="O468" s="312"/>
      <c r="Q468" s="386"/>
      <c r="R468" s="386"/>
    </row>
    <row r="469" spans="14:18" ht="15.75" customHeight="1" x14ac:dyDescent="0.25">
      <c r="N469" s="312"/>
      <c r="O469" s="312"/>
      <c r="Q469" s="386"/>
      <c r="R469" s="386"/>
    </row>
    <row r="470" spans="14:18" ht="15.75" customHeight="1" x14ac:dyDescent="0.25">
      <c r="N470" s="312"/>
      <c r="O470" s="312"/>
      <c r="Q470" s="386"/>
      <c r="R470" s="386"/>
    </row>
    <row r="471" spans="14:18" ht="15.75" customHeight="1" x14ac:dyDescent="0.25">
      <c r="N471" s="312"/>
      <c r="O471" s="312"/>
      <c r="Q471" s="386"/>
      <c r="R471" s="386"/>
    </row>
    <row r="472" spans="14:18" ht="15.75" customHeight="1" x14ac:dyDescent="0.25">
      <c r="N472" s="312"/>
      <c r="O472" s="312"/>
      <c r="Q472" s="386"/>
      <c r="R472" s="386"/>
    </row>
    <row r="473" spans="14:18" ht="15.75" customHeight="1" x14ac:dyDescent="0.25">
      <c r="N473" s="312"/>
      <c r="O473" s="312"/>
      <c r="Q473" s="386"/>
      <c r="R473" s="386"/>
    </row>
    <row r="474" spans="14:18" ht="15.75" customHeight="1" x14ac:dyDescent="0.25">
      <c r="N474" s="312"/>
      <c r="O474" s="312"/>
      <c r="Q474" s="386"/>
      <c r="R474" s="386"/>
    </row>
    <row r="475" spans="14:18" ht="15.75" customHeight="1" x14ac:dyDescent="0.25">
      <c r="N475" s="312"/>
      <c r="O475" s="312"/>
      <c r="Q475" s="386"/>
      <c r="R475" s="386"/>
    </row>
    <row r="476" spans="14:18" ht="15.75" customHeight="1" x14ac:dyDescent="0.25">
      <c r="N476" s="312"/>
      <c r="O476" s="312"/>
      <c r="Q476" s="386"/>
      <c r="R476" s="386"/>
    </row>
    <row r="477" spans="14:18" ht="15.75" customHeight="1" x14ac:dyDescent="0.25">
      <c r="N477" s="312"/>
      <c r="O477" s="312"/>
      <c r="Q477" s="386"/>
      <c r="R477" s="386"/>
    </row>
    <row r="478" spans="14:18" ht="15.75" customHeight="1" x14ac:dyDescent="0.25">
      <c r="N478" s="312"/>
      <c r="O478" s="312"/>
      <c r="Q478" s="386"/>
      <c r="R478" s="386"/>
    </row>
    <row r="479" spans="14:18" ht="15.75" customHeight="1" x14ac:dyDescent="0.25">
      <c r="N479" s="312"/>
      <c r="O479" s="312"/>
      <c r="Q479" s="386"/>
      <c r="R479" s="386"/>
    </row>
    <row r="480" spans="14:18" ht="15.75" customHeight="1" x14ac:dyDescent="0.25">
      <c r="N480" s="312"/>
      <c r="O480" s="312"/>
      <c r="Q480" s="386"/>
      <c r="R480" s="386"/>
    </row>
    <row r="481" spans="14:18" ht="15.75" customHeight="1" x14ac:dyDescent="0.25">
      <c r="N481" s="312"/>
      <c r="O481" s="312"/>
      <c r="Q481" s="386"/>
      <c r="R481" s="386"/>
    </row>
    <row r="482" spans="14:18" ht="15.75" customHeight="1" x14ac:dyDescent="0.25">
      <c r="N482" s="312"/>
      <c r="O482" s="312"/>
      <c r="Q482" s="386"/>
      <c r="R482" s="386"/>
    </row>
    <row r="483" spans="14:18" ht="15.75" customHeight="1" x14ac:dyDescent="0.25">
      <c r="N483" s="312"/>
      <c r="O483" s="312"/>
      <c r="Q483" s="386"/>
      <c r="R483" s="386"/>
    </row>
    <row r="484" spans="14:18" ht="15.75" customHeight="1" x14ac:dyDescent="0.25">
      <c r="N484" s="312"/>
      <c r="O484" s="312"/>
      <c r="Q484" s="386"/>
      <c r="R484" s="386"/>
    </row>
    <row r="485" spans="14:18" ht="15.75" customHeight="1" x14ac:dyDescent="0.25">
      <c r="N485" s="312"/>
      <c r="O485" s="312"/>
      <c r="Q485" s="386"/>
      <c r="R485" s="386"/>
    </row>
    <row r="486" spans="14:18" ht="15.75" customHeight="1" x14ac:dyDescent="0.25">
      <c r="N486" s="312"/>
      <c r="O486" s="312"/>
      <c r="Q486" s="386"/>
      <c r="R486" s="386"/>
    </row>
    <row r="487" spans="14:18" ht="15.75" customHeight="1" x14ac:dyDescent="0.25">
      <c r="N487" s="312"/>
      <c r="O487" s="312"/>
      <c r="Q487" s="386"/>
      <c r="R487" s="386"/>
    </row>
    <row r="488" spans="14:18" ht="15.75" customHeight="1" x14ac:dyDescent="0.25">
      <c r="N488" s="312"/>
      <c r="O488" s="312"/>
      <c r="Q488" s="386"/>
      <c r="R488" s="386"/>
    </row>
    <row r="489" spans="14:18" ht="15.75" customHeight="1" x14ac:dyDescent="0.25">
      <c r="N489" s="312"/>
      <c r="O489" s="312"/>
      <c r="Q489" s="386"/>
      <c r="R489" s="386"/>
    </row>
    <row r="490" spans="14:18" ht="15.75" customHeight="1" x14ac:dyDescent="0.25">
      <c r="N490" s="312"/>
      <c r="O490" s="312"/>
      <c r="Q490" s="386"/>
      <c r="R490" s="386"/>
    </row>
    <row r="491" spans="14:18" ht="15.75" customHeight="1" x14ac:dyDescent="0.25">
      <c r="N491" s="312"/>
      <c r="O491" s="312"/>
      <c r="Q491" s="386"/>
      <c r="R491" s="386"/>
    </row>
    <row r="492" spans="14:18" ht="15.75" customHeight="1" x14ac:dyDescent="0.25">
      <c r="N492" s="312"/>
      <c r="O492" s="312"/>
      <c r="Q492" s="386"/>
      <c r="R492" s="386"/>
    </row>
    <row r="493" spans="14:18" ht="15.75" customHeight="1" x14ac:dyDescent="0.25">
      <c r="N493" s="312"/>
      <c r="O493" s="312"/>
      <c r="Q493" s="386"/>
      <c r="R493" s="386"/>
    </row>
    <row r="494" spans="14:18" ht="15.75" customHeight="1" x14ac:dyDescent="0.25">
      <c r="N494" s="312"/>
      <c r="O494" s="312"/>
      <c r="Q494" s="386"/>
      <c r="R494" s="386"/>
    </row>
    <row r="495" spans="14:18" ht="15.75" customHeight="1" x14ac:dyDescent="0.25">
      <c r="N495" s="312"/>
      <c r="O495" s="312"/>
      <c r="Q495" s="386"/>
      <c r="R495" s="386"/>
    </row>
    <row r="496" spans="14:18" ht="15.75" customHeight="1" x14ac:dyDescent="0.25">
      <c r="N496" s="312"/>
      <c r="O496" s="312"/>
      <c r="Q496" s="386"/>
      <c r="R496" s="386"/>
    </row>
    <row r="497" spans="14:18" ht="15.75" customHeight="1" x14ac:dyDescent="0.25">
      <c r="N497" s="312"/>
      <c r="O497" s="312"/>
      <c r="Q497" s="386"/>
      <c r="R497" s="386"/>
    </row>
    <row r="498" spans="14:18" ht="15.75" customHeight="1" x14ac:dyDescent="0.25">
      <c r="N498" s="312"/>
      <c r="O498" s="312"/>
      <c r="Q498" s="386"/>
      <c r="R498" s="386"/>
    </row>
    <row r="499" spans="14:18" ht="15.75" customHeight="1" x14ac:dyDescent="0.25">
      <c r="N499" s="312"/>
      <c r="O499" s="312"/>
      <c r="Q499" s="386"/>
      <c r="R499" s="386"/>
    </row>
    <row r="500" spans="14:18" ht="15.75" customHeight="1" x14ac:dyDescent="0.25">
      <c r="N500" s="312"/>
      <c r="O500" s="312"/>
      <c r="Q500" s="386"/>
      <c r="R500" s="386"/>
    </row>
    <row r="501" spans="14:18" ht="15.75" customHeight="1" x14ac:dyDescent="0.25">
      <c r="N501" s="312"/>
      <c r="O501" s="312"/>
      <c r="Q501" s="386"/>
      <c r="R501" s="386"/>
    </row>
    <row r="502" spans="14:18" ht="15.75" customHeight="1" x14ac:dyDescent="0.25">
      <c r="N502" s="312"/>
      <c r="O502" s="312"/>
      <c r="Q502" s="386"/>
      <c r="R502" s="386"/>
    </row>
    <row r="503" spans="14:18" ht="15.75" customHeight="1" x14ac:dyDescent="0.25">
      <c r="N503" s="312"/>
      <c r="O503" s="312"/>
      <c r="Q503" s="386"/>
      <c r="R503" s="386"/>
    </row>
    <row r="504" spans="14:18" ht="15.75" customHeight="1" x14ac:dyDescent="0.25">
      <c r="N504" s="312"/>
      <c r="O504" s="312"/>
      <c r="Q504" s="386"/>
      <c r="R504" s="386"/>
    </row>
    <row r="505" spans="14:18" ht="15.75" customHeight="1" x14ac:dyDescent="0.25">
      <c r="N505" s="312"/>
      <c r="O505" s="312"/>
      <c r="Q505" s="386"/>
      <c r="R505" s="386"/>
    </row>
    <row r="506" spans="14:18" ht="15.75" customHeight="1" x14ac:dyDescent="0.25">
      <c r="N506" s="312"/>
      <c r="O506" s="312"/>
      <c r="Q506" s="386"/>
      <c r="R506" s="386"/>
    </row>
    <row r="507" spans="14:18" ht="15.75" customHeight="1" x14ac:dyDescent="0.25">
      <c r="N507" s="312"/>
      <c r="O507" s="312"/>
      <c r="Q507" s="386"/>
      <c r="R507" s="386"/>
    </row>
    <row r="508" spans="14:18" ht="15.75" customHeight="1" x14ac:dyDescent="0.25">
      <c r="N508" s="312"/>
      <c r="O508" s="312"/>
      <c r="Q508" s="386"/>
      <c r="R508" s="386"/>
    </row>
    <row r="509" spans="14:18" ht="15.75" customHeight="1" x14ac:dyDescent="0.25">
      <c r="N509" s="312"/>
      <c r="O509" s="312"/>
      <c r="Q509" s="386"/>
      <c r="R509" s="386"/>
    </row>
    <row r="510" spans="14:18" ht="15.75" customHeight="1" x14ac:dyDescent="0.25">
      <c r="N510" s="312"/>
      <c r="O510" s="312"/>
      <c r="Q510" s="386"/>
      <c r="R510" s="386"/>
    </row>
    <row r="511" spans="14:18" ht="15.75" customHeight="1" x14ac:dyDescent="0.25">
      <c r="N511" s="312"/>
      <c r="O511" s="312"/>
      <c r="Q511" s="386"/>
      <c r="R511" s="386"/>
    </row>
    <row r="512" spans="14:18" ht="15.75" customHeight="1" x14ac:dyDescent="0.25">
      <c r="N512" s="312"/>
      <c r="O512" s="312"/>
      <c r="Q512" s="386"/>
      <c r="R512" s="386"/>
    </row>
    <row r="513" spans="14:18" ht="15.75" customHeight="1" x14ac:dyDescent="0.25">
      <c r="N513" s="312"/>
      <c r="O513" s="312"/>
      <c r="Q513" s="386"/>
      <c r="R513" s="386"/>
    </row>
    <row r="514" spans="14:18" ht="15.75" customHeight="1" x14ac:dyDescent="0.25">
      <c r="N514" s="312"/>
      <c r="O514" s="312"/>
      <c r="Q514" s="386"/>
      <c r="R514" s="386"/>
    </row>
    <row r="515" spans="14:18" ht="15.75" customHeight="1" x14ac:dyDescent="0.25">
      <c r="N515" s="312"/>
      <c r="O515" s="312"/>
      <c r="Q515" s="386"/>
      <c r="R515" s="386"/>
    </row>
    <row r="516" spans="14:18" ht="15.75" customHeight="1" x14ac:dyDescent="0.25">
      <c r="N516" s="312"/>
      <c r="O516" s="312"/>
      <c r="Q516" s="386"/>
      <c r="R516" s="386"/>
    </row>
    <row r="517" spans="14:18" ht="15.75" customHeight="1" x14ac:dyDescent="0.25">
      <c r="N517" s="312"/>
      <c r="O517" s="312"/>
      <c r="Q517" s="386"/>
      <c r="R517" s="386"/>
    </row>
    <row r="518" spans="14:18" ht="15.75" customHeight="1" x14ac:dyDescent="0.25">
      <c r="N518" s="312"/>
      <c r="O518" s="312"/>
      <c r="Q518" s="386"/>
      <c r="R518" s="386"/>
    </row>
    <row r="519" spans="14:18" ht="15.75" customHeight="1" x14ac:dyDescent="0.25">
      <c r="N519" s="312"/>
      <c r="O519" s="312"/>
      <c r="Q519" s="386"/>
      <c r="R519" s="386"/>
    </row>
    <row r="520" spans="14:18" ht="15.75" customHeight="1" x14ac:dyDescent="0.25">
      <c r="N520" s="312"/>
      <c r="O520" s="312"/>
      <c r="Q520" s="386"/>
      <c r="R520" s="386"/>
    </row>
    <row r="521" spans="14:18" ht="15.75" customHeight="1" x14ac:dyDescent="0.25">
      <c r="N521" s="312"/>
      <c r="O521" s="312"/>
      <c r="Q521" s="386"/>
      <c r="R521" s="386"/>
    </row>
    <row r="522" spans="14:18" ht="15.75" customHeight="1" x14ac:dyDescent="0.25">
      <c r="N522" s="312"/>
      <c r="O522" s="312"/>
      <c r="Q522" s="386"/>
      <c r="R522" s="386"/>
    </row>
    <row r="523" spans="14:18" ht="15.75" customHeight="1" x14ac:dyDescent="0.25">
      <c r="N523" s="312"/>
      <c r="O523" s="312"/>
      <c r="Q523" s="386"/>
      <c r="R523" s="386"/>
    </row>
    <row r="524" spans="14:18" ht="15.75" customHeight="1" x14ac:dyDescent="0.25">
      <c r="N524" s="312"/>
      <c r="O524" s="312"/>
      <c r="Q524" s="386"/>
      <c r="R524" s="386"/>
    </row>
    <row r="525" spans="14:18" ht="15.75" customHeight="1" x14ac:dyDescent="0.25">
      <c r="N525" s="312"/>
      <c r="O525" s="312"/>
      <c r="Q525" s="386"/>
      <c r="R525" s="386"/>
    </row>
    <row r="526" spans="14:18" ht="15.75" customHeight="1" x14ac:dyDescent="0.25">
      <c r="N526" s="312"/>
      <c r="O526" s="312"/>
      <c r="Q526" s="386"/>
      <c r="R526" s="386"/>
    </row>
    <row r="527" spans="14:18" ht="15.75" customHeight="1" x14ac:dyDescent="0.25">
      <c r="N527" s="312"/>
      <c r="O527" s="312"/>
      <c r="Q527" s="386"/>
      <c r="R527" s="386"/>
    </row>
    <row r="528" spans="14:18" ht="15.75" customHeight="1" x14ac:dyDescent="0.25">
      <c r="N528" s="312"/>
      <c r="O528" s="312"/>
      <c r="Q528" s="386"/>
      <c r="R528" s="386"/>
    </row>
    <row r="529" spans="14:18" ht="15.75" customHeight="1" x14ac:dyDescent="0.25">
      <c r="N529" s="312"/>
      <c r="O529" s="312"/>
      <c r="Q529" s="386"/>
      <c r="R529" s="386"/>
    </row>
    <row r="530" spans="14:18" ht="15.75" customHeight="1" x14ac:dyDescent="0.25">
      <c r="N530" s="312"/>
      <c r="O530" s="312"/>
      <c r="Q530" s="386"/>
      <c r="R530" s="386"/>
    </row>
    <row r="531" spans="14:18" ht="15.75" customHeight="1" x14ac:dyDescent="0.25">
      <c r="N531" s="312"/>
      <c r="O531" s="312"/>
      <c r="Q531" s="386"/>
      <c r="R531" s="386"/>
    </row>
    <row r="532" spans="14:18" ht="15.75" customHeight="1" x14ac:dyDescent="0.25">
      <c r="N532" s="312"/>
      <c r="O532" s="312"/>
      <c r="Q532" s="386"/>
      <c r="R532" s="386"/>
    </row>
    <row r="533" spans="14:18" ht="15.75" customHeight="1" x14ac:dyDescent="0.25">
      <c r="N533" s="312"/>
      <c r="O533" s="312"/>
      <c r="Q533" s="386"/>
      <c r="R533" s="386"/>
    </row>
    <row r="534" spans="14:18" ht="15.75" customHeight="1" x14ac:dyDescent="0.25">
      <c r="N534" s="312"/>
      <c r="O534" s="312"/>
      <c r="Q534" s="386"/>
      <c r="R534" s="386"/>
    </row>
    <row r="535" spans="14:18" ht="15.75" customHeight="1" x14ac:dyDescent="0.25">
      <c r="N535" s="312"/>
      <c r="O535" s="312"/>
      <c r="Q535" s="386"/>
      <c r="R535" s="386"/>
    </row>
    <row r="536" spans="14:18" ht="15.75" customHeight="1" x14ac:dyDescent="0.25">
      <c r="N536" s="312"/>
      <c r="O536" s="312"/>
      <c r="Q536" s="386"/>
      <c r="R536" s="386"/>
    </row>
    <row r="537" spans="14:18" ht="15.75" customHeight="1" x14ac:dyDescent="0.25">
      <c r="N537" s="312"/>
      <c r="O537" s="312"/>
      <c r="Q537" s="386"/>
      <c r="R537" s="386"/>
    </row>
    <row r="538" spans="14:18" ht="15.75" customHeight="1" x14ac:dyDescent="0.25">
      <c r="N538" s="312"/>
      <c r="O538" s="312"/>
      <c r="Q538" s="386"/>
      <c r="R538" s="386"/>
    </row>
    <row r="539" spans="14:18" ht="15.75" customHeight="1" x14ac:dyDescent="0.25">
      <c r="N539" s="312"/>
      <c r="O539" s="312"/>
      <c r="Q539" s="386"/>
      <c r="R539" s="386"/>
    </row>
    <row r="540" spans="14:18" ht="15.75" customHeight="1" x14ac:dyDescent="0.25">
      <c r="N540" s="312"/>
      <c r="O540" s="312"/>
      <c r="Q540" s="386"/>
      <c r="R540" s="386"/>
    </row>
    <row r="541" spans="14:18" ht="15.75" customHeight="1" x14ac:dyDescent="0.25">
      <c r="N541" s="312"/>
      <c r="O541" s="312"/>
      <c r="Q541" s="386"/>
      <c r="R541" s="386"/>
    </row>
    <row r="542" spans="14:18" ht="15.75" customHeight="1" x14ac:dyDescent="0.25">
      <c r="N542" s="312"/>
      <c r="O542" s="312"/>
      <c r="Q542" s="386"/>
      <c r="R542" s="386"/>
    </row>
    <row r="543" spans="14:18" ht="15.75" customHeight="1" x14ac:dyDescent="0.25">
      <c r="N543" s="312"/>
      <c r="O543" s="312"/>
      <c r="Q543" s="386"/>
      <c r="R543" s="386"/>
    </row>
    <row r="544" spans="14:18" ht="15.75" customHeight="1" x14ac:dyDescent="0.25">
      <c r="N544" s="312"/>
      <c r="O544" s="312"/>
      <c r="Q544" s="386"/>
      <c r="R544" s="386"/>
    </row>
    <row r="545" spans="14:18" ht="15.75" customHeight="1" x14ac:dyDescent="0.25">
      <c r="N545" s="312"/>
      <c r="O545" s="312"/>
      <c r="Q545" s="386"/>
      <c r="R545" s="386"/>
    </row>
    <row r="546" spans="14:18" ht="15.75" customHeight="1" x14ac:dyDescent="0.25">
      <c r="N546" s="312"/>
      <c r="O546" s="312"/>
      <c r="Q546" s="386"/>
      <c r="R546" s="386"/>
    </row>
    <row r="547" spans="14:18" ht="15.75" customHeight="1" x14ac:dyDescent="0.25">
      <c r="N547" s="312"/>
      <c r="O547" s="312"/>
      <c r="Q547" s="386"/>
      <c r="R547" s="386"/>
    </row>
    <row r="548" spans="14:18" ht="15.75" customHeight="1" x14ac:dyDescent="0.25">
      <c r="N548" s="312"/>
      <c r="O548" s="312"/>
      <c r="Q548" s="386"/>
      <c r="R548" s="386"/>
    </row>
    <row r="549" spans="14:18" ht="15.75" customHeight="1" x14ac:dyDescent="0.25">
      <c r="N549" s="312"/>
      <c r="O549" s="312"/>
      <c r="Q549" s="386"/>
      <c r="R549" s="386"/>
    </row>
    <row r="550" spans="14:18" ht="15.75" customHeight="1" x14ac:dyDescent="0.25">
      <c r="N550" s="312"/>
      <c r="O550" s="312"/>
      <c r="Q550" s="386"/>
      <c r="R550" s="386"/>
    </row>
    <row r="551" spans="14:18" ht="15.75" customHeight="1" x14ac:dyDescent="0.25">
      <c r="N551" s="312"/>
      <c r="O551" s="312"/>
      <c r="Q551" s="386"/>
      <c r="R551" s="386"/>
    </row>
    <row r="552" spans="14:18" ht="15.75" customHeight="1" x14ac:dyDescent="0.25">
      <c r="N552" s="312"/>
      <c r="O552" s="312"/>
      <c r="Q552" s="386"/>
      <c r="R552" s="386"/>
    </row>
    <row r="553" spans="14:18" ht="15.75" customHeight="1" x14ac:dyDescent="0.25">
      <c r="N553" s="312"/>
      <c r="O553" s="312"/>
      <c r="Q553" s="386"/>
      <c r="R553" s="386"/>
    </row>
    <row r="554" spans="14:18" ht="15.75" customHeight="1" x14ac:dyDescent="0.25">
      <c r="N554" s="312"/>
      <c r="O554" s="312"/>
      <c r="Q554" s="386"/>
      <c r="R554" s="386"/>
    </row>
    <row r="555" spans="14:18" ht="15.75" customHeight="1" x14ac:dyDescent="0.25">
      <c r="N555" s="312"/>
      <c r="O555" s="312"/>
      <c r="Q555" s="386"/>
      <c r="R555" s="386"/>
    </row>
    <row r="556" spans="14:18" ht="15.75" customHeight="1" x14ac:dyDescent="0.25">
      <c r="N556" s="312"/>
      <c r="O556" s="312"/>
      <c r="Q556" s="386"/>
      <c r="R556" s="386"/>
    </row>
    <row r="557" spans="14:18" ht="15.75" customHeight="1" x14ac:dyDescent="0.25">
      <c r="N557" s="312"/>
      <c r="O557" s="312"/>
      <c r="Q557" s="386"/>
      <c r="R557" s="386"/>
    </row>
    <row r="558" spans="14:18" ht="15.75" customHeight="1" x14ac:dyDescent="0.25">
      <c r="N558" s="312"/>
      <c r="O558" s="312"/>
      <c r="Q558" s="386"/>
      <c r="R558" s="386"/>
    </row>
    <row r="559" spans="14:18" ht="15.75" customHeight="1" x14ac:dyDescent="0.25">
      <c r="N559" s="312"/>
      <c r="O559" s="312"/>
      <c r="Q559" s="386"/>
      <c r="R559" s="386"/>
    </row>
    <row r="560" spans="14:18" ht="15.75" customHeight="1" x14ac:dyDescent="0.25">
      <c r="N560" s="312"/>
      <c r="O560" s="312"/>
      <c r="Q560" s="386"/>
      <c r="R560" s="386"/>
    </row>
    <row r="561" spans="14:18" ht="15.75" customHeight="1" x14ac:dyDescent="0.25">
      <c r="N561" s="312"/>
      <c r="O561" s="312"/>
      <c r="Q561" s="386"/>
      <c r="R561" s="386"/>
    </row>
    <row r="562" spans="14:18" ht="15.75" customHeight="1" x14ac:dyDescent="0.25">
      <c r="N562" s="312"/>
      <c r="O562" s="312"/>
      <c r="Q562" s="386"/>
      <c r="R562" s="386"/>
    </row>
    <row r="563" spans="14:18" ht="15.75" customHeight="1" x14ac:dyDescent="0.25">
      <c r="N563" s="312"/>
      <c r="O563" s="312"/>
      <c r="Q563" s="386"/>
      <c r="R563" s="386"/>
    </row>
    <row r="564" spans="14:18" ht="15.75" customHeight="1" x14ac:dyDescent="0.25">
      <c r="N564" s="312"/>
      <c r="O564" s="312"/>
      <c r="Q564" s="386"/>
      <c r="R564" s="386"/>
    </row>
    <row r="565" spans="14:18" ht="15.75" customHeight="1" x14ac:dyDescent="0.25">
      <c r="N565" s="312"/>
      <c r="O565" s="312"/>
      <c r="Q565" s="386"/>
      <c r="R565" s="386"/>
    </row>
    <row r="566" spans="14:18" ht="15.75" customHeight="1" x14ac:dyDescent="0.25">
      <c r="N566" s="312"/>
      <c r="O566" s="312"/>
      <c r="Q566" s="386"/>
      <c r="R566" s="386"/>
    </row>
    <row r="567" spans="14:18" ht="15.75" customHeight="1" x14ac:dyDescent="0.25">
      <c r="N567" s="312"/>
      <c r="O567" s="312"/>
      <c r="Q567" s="386"/>
      <c r="R567" s="386"/>
    </row>
    <row r="568" spans="14:18" ht="15.75" customHeight="1" x14ac:dyDescent="0.25">
      <c r="N568" s="312"/>
      <c r="O568" s="312"/>
      <c r="Q568" s="386"/>
      <c r="R568" s="386"/>
    </row>
    <row r="569" spans="14:18" ht="15.75" customHeight="1" x14ac:dyDescent="0.25">
      <c r="N569" s="312"/>
      <c r="O569" s="312"/>
      <c r="Q569" s="386"/>
      <c r="R569" s="386"/>
    </row>
    <row r="570" spans="14:18" ht="15.75" customHeight="1" x14ac:dyDescent="0.25">
      <c r="N570" s="312"/>
      <c r="O570" s="312"/>
      <c r="Q570" s="386"/>
      <c r="R570" s="386"/>
    </row>
    <row r="571" spans="14:18" ht="15.75" customHeight="1" x14ac:dyDescent="0.25">
      <c r="N571" s="312"/>
      <c r="O571" s="312"/>
      <c r="Q571" s="386"/>
      <c r="R571" s="386"/>
    </row>
    <row r="572" spans="14:18" ht="15.75" customHeight="1" x14ac:dyDescent="0.25">
      <c r="N572" s="312"/>
      <c r="O572" s="312"/>
      <c r="Q572" s="386"/>
      <c r="R572" s="386"/>
    </row>
    <row r="573" spans="14:18" ht="15.75" customHeight="1" x14ac:dyDescent="0.25">
      <c r="N573" s="312"/>
      <c r="O573" s="312"/>
      <c r="Q573" s="386"/>
      <c r="R573" s="386"/>
    </row>
    <row r="574" spans="14:18" ht="15.75" customHeight="1" x14ac:dyDescent="0.25">
      <c r="N574" s="312"/>
      <c r="O574" s="312"/>
      <c r="Q574" s="386"/>
      <c r="R574" s="386"/>
    </row>
    <row r="575" spans="14:18" ht="15.75" customHeight="1" x14ac:dyDescent="0.25">
      <c r="N575" s="312"/>
      <c r="O575" s="312"/>
      <c r="Q575" s="386"/>
      <c r="R575" s="386"/>
    </row>
    <row r="576" spans="14:18" ht="15.75" customHeight="1" x14ac:dyDescent="0.25">
      <c r="N576" s="312"/>
      <c r="O576" s="312"/>
      <c r="Q576" s="386"/>
      <c r="R576" s="386"/>
    </row>
    <row r="577" spans="14:18" ht="15.75" customHeight="1" x14ac:dyDescent="0.25">
      <c r="N577" s="312"/>
      <c r="O577" s="312"/>
      <c r="Q577" s="386"/>
      <c r="R577" s="386"/>
    </row>
    <row r="578" spans="14:18" ht="15.75" customHeight="1" x14ac:dyDescent="0.25">
      <c r="N578" s="312"/>
      <c r="O578" s="312"/>
      <c r="Q578" s="386"/>
      <c r="R578" s="386"/>
    </row>
    <row r="579" spans="14:18" ht="15.75" customHeight="1" x14ac:dyDescent="0.25">
      <c r="N579" s="312"/>
      <c r="O579" s="312"/>
      <c r="Q579" s="386"/>
      <c r="R579" s="386"/>
    </row>
    <row r="580" spans="14:18" ht="15.75" customHeight="1" x14ac:dyDescent="0.25">
      <c r="N580" s="312"/>
      <c r="O580" s="312"/>
      <c r="Q580" s="386"/>
      <c r="R580" s="386"/>
    </row>
    <row r="581" spans="14:18" ht="15.75" customHeight="1" x14ac:dyDescent="0.25">
      <c r="N581" s="312"/>
      <c r="O581" s="312"/>
      <c r="Q581" s="386"/>
      <c r="R581" s="386"/>
    </row>
    <row r="582" spans="14:18" ht="15.75" customHeight="1" x14ac:dyDescent="0.25">
      <c r="N582" s="312"/>
      <c r="O582" s="312"/>
      <c r="Q582" s="386"/>
      <c r="R582" s="386"/>
    </row>
    <row r="583" spans="14:18" ht="15.75" customHeight="1" x14ac:dyDescent="0.25">
      <c r="N583" s="312"/>
      <c r="O583" s="312"/>
      <c r="Q583" s="386"/>
      <c r="R583" s="386"/>
    </row>
    <row r="584" spans="14:18" ht="15.75" customHeight="1" x14ac:dyDescent="0.25">
      <c r="N584" s="312"/>
      <c r="O584" s="312"/>
      <c r="Q584" s="386"/>
      <c r="R584" s="386"/>
    </row>
    <row r="585" spans="14:18" ht="15.75" customHeight="1" x14ac:dyDescent="0.25">
      <c r="N585" s="312"/>
      <c r="O585" s="312"/>
      <c r="Q585" s="386"/>
      <c r="R585" s="386"/>
    </row>
    <row r="586" spans="14:18" ht="15.75" customHeight="1" x14ac:dyDescent="0.25">
      <c r="N586" s="312"/>
      <c r="O586" s="312"/>
      <c r="Q586" s="386"/>
      <c r="R586" s="386"/>
    </row>
    <row r="587" spans="14:18" ht="15.75" customHeight="1" x14ac:dyDescent="0.25">
      <c r="N587" s="312"/>
      <c r="O587" s="312"/>
      <c r="Q587" s="386"/>
      <c r="R587" s="386"/>
    </row>
    <row r="588" spans="14:18" ht="15.75" customHeight="1" x14ac:dyDescent="0.25">
      <c r="N588" s="312"/>
      <c r="O588" s="312"/>
      <c r="Q588" s="386"/>
      <c r="R588" s="386"/>
    </row>
    <row r="589" spans="14:18" ht="15.75" customHeight="1" x14ac:dyDescent="0.25">
      <c r="N589" s="312"/>
      <c r="O589" s="312"/>
      <c r="Q589" s="386"/>
      <c r="R589" s="386"/>
    </row>
    <row r="590" spans="14:18" ht="15.75" customHeight="1" x14ac:dyDescent="0.25">
      <c r="N590" s="312"/>
      <c r="O590" s="312"/>
      <c r="Q590" s="386"/>
      <c r="R590" s="386"/>
    </row>
    <row r="591" spans="14:18" ht="15.75" customHeight="1" x14ac:dyDescent="0.25">
      <c r="N591" s="312"/>
      <c r="O591" s="312"/>
      <c r="Q591" s="386"/>
      <c r="R591" s="386"/>
    </row>
    <row r="592" spans="14:18" ht="15.75" customHeight="1" x14ac:dyDescent="0.25">
      <c r="N592" s="312"/>
      <c r="O592" s="312"/>
      <c r="Q592" s="386"/>
      <c r="R592" s="386"/>
    </row>
    <row r="593" spans="14:18" ht="15.75" customHeight="1" x14ac:dyDescent="0.25">
      <c r="N593" s="312"/>
      <c r="O593" s="312"/>
      <c r="Q593" s="386"/>
      <c r="R593" s="386"/>
    </row>
    <row r="594" spans="14:18" ht="15.75" customHeight="1" x14ac:dyDescent="0.25">
      <c r="N594" s="312"/>
      <c r="O594" s="312"/>
      <c r="Q594" s="386"/>
      <c r="R594" s="386"/>
    </row>
    <row r="595" spans="14:18" ht="15.75" customHeight="1" x14ac:dyDescent="0.25">
      <c r="N595" s="312"/>
      <c r="O595" s="312"/>
      <c r="Q595" s="386"/>
      <c r="R595" s="386"/>
    </row>
    <row r="596" spans="14:18" ht="15.75" customHeight="1" x14ac:dyDescent="0.25">
      <c r="N596" s="312"/>
      <c r="O596" s="312"/>
      <c r="Q596" s="386"/>
      <c r="R596" s="386"/>
    </row>
    <row r="597" spans="14:18" ht="15.75" customHeight="1" x14ac:dyDescent="0.25">
      <c r="N597" s="312"/>
      <c r="O597" s="312"/>
      <c r="Q597" s="386"/>
      <c r="R597" s="386"/>
    </row>
    <row r="598" spans="14:18" ht="15.75" customHeight="1" x14ac:dyDescent="0.25">
      <c r="N598" s="312"/>
      <c r="O598" s="312"/>
      <c r="Q598" s="386"/>
      <c r="R598" s="386"/>
    </row>
    <row r="599" spans="14:18" ht="15.75" customHeight="1" x14ac:dyDescent="0.25">
      <c r="N599" s="312"/>
      <c r="O599" s="312"/>
      <c r="Q599" s="386"/>
      <c r="R599" s="386"/>
    </row>
    <row r="600" spans="14:18" ht="15.75" customHeight="1" x14ac:dyDescent="0.25">
      <c r="N600" s="312"/>
      <c r="O600" s="312"/>
      <c r="Q600" s="386"/>
      <c r="R600" s="386"/>
    </row>
    <row r="601" spans="14:18" ht="15.75" customHeight="1" x14ac:dyDescent="0.25">
      <c r="N601" s="312"/>
      <c r="O601" s="312"/>
      <c r="Q601" s="386"/>
      <c r="R601" s="386"/>
    </row>
    <row r="602" spans="14:18" ht="15.75" customHeight="1" x14ac:dyDescent="0.25">
      <c r="N602" s="312"/>
      <c r="O602" s="312"/>
      <c r="Q602" s="386"/>
      <c r="R602" s="386"/>
    </row>
    <row r="603" spans="14:18" ht="15.75" customHeight="1" x14ac:dyDescent="0.25">
      <c r="N603" s="312"/>
      <c r="O603" s="312"/>
      <c r="Q603" s="386"/>
      <c r="R603" s="386"/>
    </row>
    <row r="604" spans="14:18" ht="15.75" customHeight="1" x14ac:dyDescent="0.25">
      <c r="N604" s="312"/>
      <c r="O604" s="312"/>
      <c r="Q604" s="386"/>
      <c r="R604" s="386"/>
    </row>
    <row r="605" spans="14:18" ht="15.75" customHeight="1" x14ac:dyDescent="0.25">
      <c r="N605" s="312"/>
      <c r="O605" s="312"/>
      <c r="Q605" s="386"/>
      <c r="R605" s="386"/>
    </row>
    <row r="606" spans="14:18" ht="15.75" customHeight="1" x14ac:dyDescent="0.25">
      <c r="N606" s="312"/>
      <c r="O606" s="312"/>
      <c r="Q606" s="386"/>
      <c r="R606" s="386"/>
    </row>
    <row r="607" spans="14:18" ht="15.75" customHeight="1" x14ac:dyDescent="0.25">
      <c r="N607" s="312"/>
      <c r="O607" s="312"/>
      <c r="Q607" s="386"/>
      <c r="R607" s="386"/>
    </row>
    <row r="608" spans="14:18" ht="15.75" customHeight="1" x14ac:dyDescent="0.25">
      <c r="N608" s="312"/>
      <c r="O608" s="312"/>
      <c r="Q608" s="386"/>
      <c r="R608" s="386"/>
    </row>
    <row r="609" spans="14:18" ht="15.75" customHeight="1" x14ac:dyDescent="0.25">
      <c r="N609" s="312"/>
      <c r="O609" s="312"/>
      <c r="Q609" s="386"/>
      <c r="R609" s="386"/>
    </row>
    <row r="610" spans="14:18" ht="15.75" customHeight="1" x14ac:dyDescent="0.25">
      <c r="N610" s="312"/>
      <c r="O610" s="312"/>
      <c r="Q610" s="386"/>
      <c r="R610" s="386"/>
    </row>
    <row r="611" spans="14:18" ht="15.75" customHeight="1" x14ac:dyDescent="0.25">
      <c r="N611" s="312"/>
      <c r="O611" s="312"/>
      <c r="Q611" s="386"/>
      <c r="R611" s="386"/>
    </row>
    <row r="612" spans="14:18" ht="15.75" customHeight="1" x14ac:dyDescent="0.25">
      <c r="N612" s="312"/>
      <c r="O612" s="312"/>
      <c r="Q612" s="386"/>
      <c r="R612" s="386"/>
    </row>
    <row r="613" spans="14:18" ht="15.75" customHeight="1" x14ac:dyDescent="0.25">
      <c r="N613" s="312"/>
      <c r="O613" s="312"/>
      <c r="Q613" s="386"/>
      <c r="R613" s="386"/>
    </row>
    <row r="614" spans="14:18" ht="15.75" customHeight="1" x14ac:dyDescent="0.25">
      <c r="N614" s="312"/>
      <c r="O614" s="312"/>
      <c r="Q614" s="386"/>
      <c r="R614" s="386"/>
    </row>
    <row r="615" spans="14:18" ht="15.75" customHeight="1" x14ac:dyDescent="0.25">
      <c r="N615" s="312"/>
      <c r="O615" s="312"/>
      <c r="Q615" s="386"/>
      <c r="R615" s="386"/>
    </row>
    <row r="616" spans="14:18" ht="15.75" customHeight="1" x14ac:dyDescent="0.25">
      <c r="N616" s="312"/>
      <c r="O616" s="312"/>
      <c r="Q616" s="386"/>
      <c r="R616" s="386"/>
    </row>
    <row r="617" spans="14:18" ht="15.75" customHeight="1" x14ac:dyDescent="0.25">
      <c r="N617" s="312"/>
      <c r="O617" s="312"/>
      <c r="Q617" s="386"/>
      <c r="R617" s="386"/>
    </row>
    <row r="618" spans="14:18" ht="15.75" customHeight="1" x14ac:dyDescent="0.25">
      <c r="N618" s="312"/>
      <c r="O618" s="312"/>
      <c r="Q618" s="386"/>
      <c r="R618" s="386"/>
    </row>
    <row r="619" spans="14:18" ht="15.75" customHeight="1" x14ac:dyDescent="0.25">
      <c r="N619" s="312"/>
      <c r="O619" s="312"/>
      <c r="Q619" s="386"/>
      <c r="R619" s="386"/>
    </row>
    <row r="620" spans="14:18" ht="15.75" customHeight="1" x14ac:dyDescent="0.25">
      <c r="N620" s="312"/>
      <c r="O620" s="312"/>
      <c r="Q620" s="386"/>
      <c r="R620" s="386"/>
    </row>
    <row r="621" spans="14:18" ht="15.75" customHeight="1" x14ac:dyDescent="0.25">
      <c r="N621" s="312"/>
      <c r="O621" s="312"/>
      <c r="Q621" s="386"/>
      <c r="R621" s="386"/>
    </row>
    <row r="622" spans="14:18" ht="15.75" customHeight="1" x14ac:dyDescent="0.25">
      <c r="N622" s="312"/>
      <c r="O622" s="312"/>
      <c r="Q622" s="386"/>
      <c r="R622" s="386"/>
    </row>
    <row r="623" spans="14:18" ht="15.75" customHeight="1" x14ac:dyDescent="0.25">
      <c r="N623" s="312"/>
      <c r="O623" s="312"/>
      <c r="Q623" s="386"/>
      <c r="R623" s="386"/>
    </row>
    <row r="624" spans="14:18" ht="15.75" customHeight="1" x14ac:dyDescent="0.25">
      <c r="N624" s="312"/>
      <c r="O624" s="312"/>
      <c r="Q624" s="386"/>
      <c r="R624" s="386"/>
    </row>
    <row r="625" spans="14:18" ht="15.75" customHeight="1" x14ac:dyDescent="0.25">
      <c r="N625" s="312"/>
      <c r="O625" s="312"/>
      <c r="Q625" s="386"/>
      <c r="R625" s="386"/>
    </row>
    <row r="626" spans="14:18" ht="15.75" customHeight="1" x14ac:dyDescent="0.25">
      <c r="N626" s="312"/>
      <c r="O626" s="312"/>
      <c r="Q626" s="386"/>
      <c r="R626" s="386"/>
    </row>
    <row r="627" spans="14:18" ht="15.75" customHeight="1" x14ac:dyDescent="0.25">
      <c r="N627" s="312"/>
      <c r="O627" s="312"/>
      <c r="Q627" s="386"/>
      <c r="R627" s="386"/>
    </row>
    <row r="628" spans="14:18" ht="15.75" customHeight="1" x14ac:dyDescent="0.25">
      <c r="N628" s="312"/>
      <c r="O628" s="312"/>
      <c r="Q628" s="386"/>
      <c r="R628" s="386"/>
    </row>
    <row r="629" spans="14:18" ht="15.75" customHeight="1" x14ac:dyDescent="0.25">
      <c r="N629" s="312"/>
      <c r="O629" s="312"/>
      <c r="Q629" s="386"/>
      <c r="R629" s="386"/>
    </row>
    <row r="630" spans="14:18" ht="15.75" customHeight="1" x14ac:dyDescent="0.25">
      <c r="N630" s="312"/>
      <c r="O630" s="312"/>
      <c r="Q630" s="386"/>
      <c r="R630" s="386"/>
    </row>
    <row r="631" spans="14:18" ht="15.75" customHeight="1" x14ac:dyDescent="0.25">
      <c r="N631" s="312"/>
      <c r="O631" s="312"/>
      <c r="Q631" s="386"/>
      <c r="R631" s="386"/>
    </row>
    <row r="632" spans="14:18" ht="15.75" customHeight="1" x14ac:dyDescent="0.25">
      <c r="N632" s="312"/>
      <c r="O632" s="312"/>
      <c r="Q632" s="386"/>
      <c r="R632" s="386"/>
    </row>
    <row r="633" spans="14:18" ht="15.75" customHeight="1" x14ac:dyDescent="0.25">
      <c r="N633" s="312"/>
      <c r="O633" s="312"/>
      <c r="Q633" s="386"/>
      <c r="R633" s="386"/>
    </row>
    <row r="634" spans="14:18" ht="15.75" customHeight="1" x14ac:dyDescent="0.25">
      <c r="N634" s="312"/>
      <c r="O634" s="312"/>
      <c r="Q634" s="386"/>
      <c r="R634" s="386"/>
    </row>
    <row r="635" spans="14:18" ht="15.75" customHeight="1" x14ac:dyDescent="0.25">
      <c r="N635" s="312"/>
      <c r="O635" s="312"/>
      <c r="Q635" s="386"/>
      <c r="R635" s="386"/>
    </row>
    <row r="636" spans="14:18" ht="15.75" customHeight="1" x14ac:dyDescent="0.25">
      <c r="N636" s="312"/>
      <c r="O636" s="312"/>
      <c r="Q636" s="386"/>
      <c r="R636" s="386"/>
    </row>
    <row r="637" spans="14:18" ht="15.75" customHeight="1" x14ac:dyDescent="0.25">
      <c r="N637" s="312"/>
      <c r="O637" s="312"/>
      <c r="Q637" s="386"/>
      <c r="R637" s="386"/>
    </row>
    <row r="638" spans="14:18" ht="15.75" customHeight="1" x14ac:dyDescent="0.25">
      <c r="N638" s="312"/>
      <c r="O638" s="312"/>
      <c r="Q638" s="386"/>
      <c r="R638" s="386"/>
    </row>
    <row r="639" spans="14:18" ht="15.75" customHeight="1" x14ac:dyDescent="0.25">
      <c r="N639" s="312"/>
      <c r="O639" s="312"/>
      <c r="Q639" s="386"/>
      <c r="R639" s="386"/>
    </row>
    <row r="640" spans="14:18" ht="15.75" customHeight="1" x14ac:dyDescent="0.25">
      <c r="N640" s="312"/>
      <c r="O640" s="312"/>
      <c r="Q640" s="386"/>
      <c r="R640" s="386"/>
    </row>
    <row r="641" spans="14:18" ht="15.75" customHeight="1" x14ac:dyDescent="0.25">
      <c r="N641" s="312"/>
      <c r="O641" s="312"/>
      <c r="Q641" s="386"/>
      <c r="R641" s="386"/>
    </row>
    <row r="642" spans="14:18" ht="15.75" customHeight="1" x14ac:dyDescent="0.25">
      <c r="N642" s="312"/>
      <c r="O642" s="312"/>
      <c r="Q642" s="386"/>
      <c r="R642" s="386"/>
    </row>
    <row r="643" spans="14:18" ht="15.75" customHeight="1" x14ac:dyDescent="0.25">
      <c r="N643" s="312"/>
      <c r="O643" s="312"/>
      <c r="Q643" s="386"/>
      <c r="R643" s="386"/>
    </row>
    <row r="644" spans="14:18" ht="15.75" customHeight="1" x14ac:dyDescent="0.25">
      <c r="N644" s="312"/>
      <c r="O644" s="312"/>
      <c r="Q644" s="386"/>
      <c r="R644" s="386"/>
    </row>
    <row r="645" spans="14:18" ht="15.75" customHeight="1" x14ac:dyDescent="0.25">
      <c r="N645" s="312"/>
      <c r="O645" s="312"/>
      <c r="Q645" s="386"/>
      <c r="R645" s="386"/>
    </row>
    <row r="646" spans="14:18" ht="15.75" customHeight="1" x14ac:dyDescent="0.25">
      <c r="N646" s="312"/>
      <c r="O646" s="312"/>
      <c r="Q646" s="386"/>
      <c r="R646" s="386"/>
    </row>
    <row r="647" spans="14:18" ht="15.75" customHeight="1" x14ac:dyDescent="0.25">
      <c r="N647" s="312"/>
      <c r="O647" s="312"/>
      <c r="Q647" s="386"/>
      <c r="R647" s="386"/>
    </row>
    <row r="648" spans="14:18" ht="15.75" customHeight="1" x14ac:dyDescent="0.25">
      <c r="N648" s="312"/>
      <c r="O648" s="312"/>
      <c r="Q648" s="386"/>
      <c r="R648" s="386"/>
    </row>
    <row r="649" spans="14:18" ht="15.75" customHeight="1" x14ac:dyDescent="0.25">
      <c r="N649" s="312"/>
      <c r="O649" s="312"/>
      <c r="Q649" s="386"/>
      <c r="R649" s="386"/>
    </row>
    <row r="650" spans="14:18" ht="15.75" customHeight="1" x14ac:dyDescent="0.25">
      <c r="N650" s="312"/>
      <c r="O650" s="312"/>
      <c r="Q650" s="386"/>
      <c r="R650" s="386"/>
    </row>
    <row r="651" spans="14:18" ht="15.75" customHeight="1" x14ac:dyDescent="0.25">
      <c r="N651" s="312"/>
      <c r="O651" s="312"/>
      <c r="Q651" s="386"/>
      <c r="R651" s="386"/>
    </row>
    <row r="652" spans="14:18" ht="15.75" customHeight="1" x14ac:dyDescent="0.25">
      <c r="N652" s="312"/>
      <c r="O652" s="312"/>
      <c r="Q652" s="386"/>
      <c r="R652" s="386"/>
    </row>
    <row r="653" spans="14:18" ht="15.75" customHeight="1" x14ac:dyDescent="0.25">
      <c r="N653" s="312"/>
      <c r="O653" s="312"/>
      <c r="Q653" s="386"/>
      <c r="R653" s="386"/>
    </row>
    <row r="654" spans="14:18" ht="15.75" customHeight="1" x14ac:dyDescent="0.25">
      <c r="N654" s="312"/>
      <c r="O654" s="312"/>
      <c r="Q654" s="386"/>
      <c r="R654" s="386"/>
    </row>
    <row r="655" spans="14:18" ht="15.75" customHeight="1" x14ac:dyDescent="0.25">
      <c r="N655" s="312"/>
      <c r="O655" s="312"/>
      <c r="Q655" s="386"/>
      <c r="R655" s="386"/>
    </row>
    <row r="656" spans="14:18" ht="15.75" customHeight="1" x14ac:dyDescent="0.25">
      <c r="N656" s="312"/>
      <c r="O656" s="312"/>
      <c r="Q656" s="386"/>
      <c r="R656" s="386"/>
    </row>
    <row r="657" spans="14:18" ht="15.75" customHeight="1" x14ac:dyDescent="0.25">
      <c r="N657" s="312"/>
      <c r="O657" s="312"/>
      <c r="Q657" s="386"/>
      <c r="R657" s="386"/>
    </row>
    <row r="658" spans="14:18" ht="15.75" customHeight="1" x14ac:dyDescent="0.25">
      <c r="N658" s="312"/>
      <c r="O658" s="312"/>
      <c r="Q658" s="386"/>
      <c r="R658" s="386"/>
    </row>
    <row r="659" spans="14:18" ht="15.75" customHeight="1" x14ac:dyDescent="0.25">
      <c r="N659" s="312"/>
      <c r="O659" s="312"/>
      <c r="Q659" s="386"/>
      <c r="R659" s="386"/>
    </row>
    <row r="660" spans="14:18" ht="15.75" customHeight="1" x14ac:dyDescent="0.25">
      <c r="N660" s="312"/>
      <c r="O660" s="312"/>
      <c r="Q660" s="386"/>
      <c r="R660" s="386"/>
    </row>
    <row r="661" spans="14:18" ht="15.75" customHeight="1" x14ac:dyDescent="0.25">
      <c r="N661" s="312"/>
      <c r="O661" s="312"/>
      <c r="Q661" s="386"/>
      <c r="R661" s="386"/>
    </row>
    <row r="662" spans="14:18" ht="15.75" customHeight="1" x14ac:dyDescent="0.25">
      <c r="N662" s="312"/>
      <c r="O662" s="312"/>
      <c r="Q662" s="386"/>
      <c r="R662" s="386"/>
    </row>
    <row r="663" spans="14:18" ht="15.75" customHeight="1" x14ac:dyDescent="0.25">
      <c r="N663" s="312"/>
      <c r="O663" s="312"/>
      <c r="Q663" s="386"/>
      <c r="R663" s="386"/>
    </row>
    <row r="664" spans="14:18" ht="15.75" customHeight="1" x14ac:dyDescent="0.25">
      <c r="N664" s="312"/>
      <c r="O664" s="312"/>
      <c r="Q664" s="386"/>
      <c r="R664" s="386"/>
    </row>
    <row r="665" spans="14:18" ht="15.75" customHeight="1" x14ac:dyDescent="0.25">
      <c r="N665" s="312"/>
      <c r="O665" s="312"/>
      <c r="Q665" s="386"/>
      <c r="R665" s="386"/>
    </row>
    <row r="666" spans="14:18" ht="15.75" customHeight="1" x14ac:dyDescent="0.25">
      <c r="N666" s="312"/>
      <c r="O666" s="312"/>
      <c r="Q666" s="386"/>
      <c r="R666" s="386"/>
    </row>
    <row r="667" spans="14:18" ht="15.75" customHeight="1" x14ac:dyDescent="0.25">
      <c r="N667" s="312"/>
      <c r="O667" s="312"/>
      <c r="Q667" s="386"/>
      <c r="R667" s="386"/>
    </row>
    <row r="668" spans="14:18" ht="15.75" customHeight="1" x14ac:dyDescent="0.25">
      <c r="N668" s="312"/>
      <c r="O668" s="312"/>
      <c r="Q668" s="386"/>
      <c r="R668" s="386"/>
    </row>
    <row r="669" spans="14:18" ht="15.75" customHeight="1" x14ac:dyDescent="0.25">
      <c r="N669" s="312"/>
      <c r="O669" s="312"/>
      <c r="Q669" s="386"/>
      <c r="R669" s="386"/>
    </row>
    <row r="670" spans="14:18" ht="15.75" customHeight="1" x14ac:dyDescent="0.25">
      <c r="N670" s="312"/>
      <c r="O670" s="312"/>
      <c r="Q670" s="386"/>
      <c r="R670" s="386"/>
    </row>
    <row r="671" spans="14:18" ht="15.75" customHeight="1" x14ac:dyDescent="0.25">
      <c r="N671" s="312"/>
      <c r="O671" s="312"/>
      <c r="Q671" s="386"/>
      <c r="R671" s="386"/>
    </row>
    <row r="672" spans="14:18" ht="15.75" customHeight="1" x14ac:dyDescent="0.25">
      <c r="N672" s="312"/>
      <c r="O672" s="312"/>
      <c r="Q672" s="386"/>
      <c r="R672" s="386"/>
    </row>
    <row r="673" spans="14:18" ht="15.75" customHeight="1" x14ac:dyDescent="0.25">
      <c r="N673" s="312"/>
      <c r="O673" s="312"/>
      <c r="Q673" s="386"/>
      <c r="R673" s="386"/>
    </row>
    <row r="674" spans="14:18" ht="15.75" customHeight="1" x14ac:dyDescent="0.25">
      <c r="N674" s="312"/>
      <c r="O674" s="312"/>
      <c r="Q674" s="386"/>
      <c r="R674" s="386"/>
    </row>
    <row r="675" spans="14:18" ht="15.75" customHeight="1" x14ac:dyDescent="0.25">
      <c r="N675" s="312"/>
      <c r="O675" s="312"/>
      <c r="Q675" s="386"/>
      <c r="R675" s="386"/>
    </row>
    <row r="676" spans="14:18" ht="15.75" customHeight="1" x14ac:dyDescent="0.25">
      <c r="N676" s="312"/>
      <c r="O676" s="312"/>
      <c r="Q676" s="386"/>
      <c r="R676" s="386"/>
    </row>
    <row r="677" spans="14:18" ht="15.75" customHeight="1" x14ac:dyDescent="0.25">
      <c r="N677" s="312"/>
      <c r="O677" s="312"/>
      <c r="Q677" s="386"/>
      <c r="R677" s="386"/>
    </row>
    <row r="678" spans="14:18" ht="15.75" customHeight="1" x14ac:dyDescent="0.25">
      <c r="N678" s="312"/>
      <c r="O678" s="312"/>
      <c r="Q678" s="386"/>
      <c r="R678" s="386"/>
    </row>
    <row r="679" spans="14:18" ht="15.75" customHeight="1" x14ac:dyDescent="0.25">
      <c r="N679" s="312"/>
      <c r="O679" s="312"/>
      <c r="Q679" s="386"/>
      <c r="R679" s="386"/>
    </row>
    <row r="680" spans="14:18" ht="15.75" customHeight="1" x14ac:dyDescent="0.25">
      <c r="N680" s="312"/>
      <c r="O680" s="312"/>
      <c r="Q680" s="386"/>
      <c r="R680" s="386"/>
    </row>
    <row r="681" spans="14:18" ht="15.75" customHeight="1" x14ac:dyDescent="0.25">
      <c r="N681" s="312"/>
      <c r="O681" s="312"/>
      <c r="Q681" s="386"/>
      <c r="R681" s="386"/>
    </row>
    <row r="682" spans="14:18" ht="15.75" customHeight="1" x14ac:dyDescent="0.25">
      <c r="N682" s="312"/>
      <c r="O682" s="312"/>
      <c r="Q682" s="386"/>
      <c r="R682" s="386"/>
    </row>
    <row r="683" spans="14:18" ht="15.75" customHeight="1" x14ac:dyDescent="0.25">
      <c r="N683" s="312"/>
      <c r="O683" s="312"/>
      <c r="Q683" s="386"/>
      <c r="R683" s="386"/>
    </row>
    <row r="684" spans="14:18" ht="15.75" customHeight="1" x14ac:dyDescent="0.25">
      <c r="N684" s="312"/>
      <c r="O684" s="312"/>
      <c r="Q684" s="386"/>
      <c r="R684" s="386"/>
    </row>
    <row r="685" spans="14:18" ht="15.75" customHeight="1" x14ac:dyDescent="0.25">
      <c r="N685" s="312"/>
      <c r="O685" s="312"/>
      <c r="Q685" s="386"/>
      <c r="R685" s="386"/>
    </row>
    <row r="686" spans="14:18" ht="15.75" customHeight="1" x14ac:dyDescent="0.25">
      <c r="N686" s="312"/>
      <c r="O686" s="312"/>
      <c r="Q686" s="386"/>
      <c r="R686" s="386"/>
    </row>
    <row r="687" spans="14:18" ht="15.75" customHeight="1" x14ac:dyDescent="0.25">
      <c r="N687" s="312"/>
      <c r="O687" s="312"/>
      <c r="Q687" s="386"/>
      <c r="R687" s="386"/>
    </row>
    <row r="688" spans="14:18" ht="15.75" customHeight="1" x14ac:dyDescent="0.25">
      <c r="N688" s="312"/>
      <c r="O688" s="312"/>
      <c r="Q688" s="386"/>
      <c r="R688" s="386"/>
    </row>
    <row r="689" spans="14:18" ht="15.75" customHeight="1" x14ac:dyDescent="0.25">
      <c r="N689" s="312"/>
      <c r="O689" s="312"/>
      <c r="Q689" s="386"/>
      <c r="R689" s="386"/>
    </row>
    <row r="690" spans="14:18" ht="15.75" customHeight="1" x14ac:dyDescent="0.25">
      <c r="N690" s="312"/>
      <c r="O690" s="312"/>
      <c r="Q690" s="386"/>
      <c r="R690" s="386"/>
    </row>
    <row r="691" spans="14:18" ht="15.75" customHeight="1" x14ac:dyDescent="0.25">
      <c r="N691" s="312"/>
      <c r="O691" s="312"/>
      <c r="Q691" s="386"/>
      <c r="R691" s="386"/>
    </row>
    <row r="692" spans="14:18" ht="15.75" customHeight="1" x14ac:dyDescent="0.25">
      <c r="N692" s="312"/>
      <c r="O692" s="312"/>
      <c r="Q692" s="386"/>
      <c r="R692" s="386"/>
    </row>
    <row r="693" spans="14:18" ht="15.75" customHeight="1" x14ac:dyDescent="0.25">
      <c r="N693" s="312"/>
      <c r="O693" s="312"/>
      <c r="Q693" s="386"/>
      <c r="R693" s="386"/>
    </row>
    <row r="694" spans="14:18" ht="15.75" customHeight="1" x14ac:dyDescent="0.25">
      <c r="N694" s="312"/>
      <c r="O694" s="312"/>
      <c r="Q694" s="386"/>
      <c r="R694" s="386"/>
    </row>
    <row r="695" spans="14:18" ht="15.75" customHeight="1" x14ac:dyDescent="0.25">
      <c r="N695" s="312"/>
      <c r="O695" s="312"/>
      <c r="Q695" s="386"/>
      <c r="R695" s="386"/>
    </row>
    <row r="696" spans="14:18" ht="15.75" customHeight="1" x14ac:dyDescent="0.25">
      <c r="N696" s="312"/>
      <c r="O696" s="312"/>
      <c r="Q696" s="386"/>
      <c r="R696" s="386"/>
    </row>
    <row r="697" spans="14:18" ht="15.75" customHeight="1" x14ac:dyDescent="0.25">
      <c r="N697" s="312"/>
      <c r="O697" s="312"/>
      <c r="Q697" s="386"/>
      <c r="R697" s="386"/>
    </row>
    <row r="698" spans="14:18" ht="15.75" customHeight="1" x14ac:dyDescent="0.25">
      <c r="N698" s="312"/>
      <c r="O698" s="312"/>
      <c r="Q698" s="386"/>
      <c r="R698" s="386"/>
    </row>
    <row r="699" spans="14:18" ht="15.75" customHeight="1" x14ac:dyDescent="0.25">
      <c r="N699" s="312"/>
      <c r="O699" s="312"/>
      <c r="Q699" s="386"/>
      <c r="R699" s="386"/>
    </row>
    <row r="700" spans="14:18" ht="15.75" customHeight="1" x14ac:dyDescent="0.25">
      <c r="N700" s="312"/>
      <c r="O700" s="312"/>
      <c r="Q700" s="386"/>
      <c r="R700" s="386"/>
    </row>
    <row r="701" spans="14:18" ht="15.75" customHeight="1" x14ac:dyDescent="0.25">
      <c r="N701" s="312"/>
      <c r="O701" s="312"/>
      <c r="Q701" s="386"/>
      <c r="R701" s="386"/>
    </row>
    <row r="702" spans="14:18" ht="15.75" customHeight="1" x14ac:dyDescent="0.25">
      <c r="N702" s="312"/>
      <c r="O702" s="312"/>
      <c r="Q702" s="386"/>
      <c r="R702" s="386"/>
    </row>
    <row r="703" spans="14:18" ht="15.75" customHeight="1" x14ac:dyDescent="0.25">
      <c r="N703" s="312"/>
      <c r="O703" s="312"/>
      <c r="Q703" s="386"/>
      <c r="R703" s="386"/>
    </row>
    <row r="704" spans="14:18" ht="15.75" customHeight="1" x14ac:dyDescent="0.25">
      <c r="N704" s="312"/>
      <c r="O704" s="312"/>
      <c r="Q704" s="386"/>
      <c r="R704" s="386"/>
    </row>
    <row r="705" spans="14:18" ht="15.75" customHeight="1" x14ac:dyDescent="0.25">
      <c r="N705" s="312"/>
      <c r="O705" s="312"/>
      <c r="Q705" s="386"/>
      <c r="R705" s="386"/>
    </row>
    <row r="706" spans="14:18" ht="15.75" customHeight="1" x14ac:dyDescent="0.25">
      <c r="N706" s="312"/>
      <c r="O706" s="312"/>
      <c r="Q706" s="386"/>
      <c r="R706" s="386"/>
    </row>
    <row r="707" spans="14:18" ht="15.75" customHeight="1" x14ac:dyDescent="0.25">
      <c r="N707" s="312"/>
      <c r="O707" s="312"/>
      <c r="Q707" s="386"/>
      <c r="R707" s="386"/>
    </row>
    <row r="708" spans="14:18" ht="15.75" customHeight="1" x14ac:dyDescent="0.25">
      <c r="N708" s="312"/>
      <c r="O708" s="312"/>
      <c r="Q708" s="386"/>
      <c r="R708" s="386"/>
    </row>
    <row r="709" spans="14:18" ht="15.75" customHeight="1" x14ac:dyDescent="0.25">
      <c r="N709" s="312"/>
      <c r="O709" s="312"/>
      <c r="Q709" s="386"/>
      <c r="R709" s="386"/>
    </row>
    <row r="710" spans="14:18" ht="15.75" customHeight="1" x14ac:dyDescent="0.25">
      <c r="N710" s="312"/>
      <c r="O710" s="312"/>
      <c r="Q710" s="386"/>
      <c r="R710" s="386"/>
    </row>
    <row r="711" spans="14:18" ht="15.75" customHeight="1" x14ac:dyDescent="0.25">
      <c r="N711" s="312"/>
      <c r="O711" s="312"/>
      <c r="Q711" s="386"/>
      <c r="R711" s="386"/>
    </row>
    <row r="712" spans="14:18" ht="15.75" customHeight="1" x14ac:dyDescent="0.25">
      <c r="N712" s="312"/>
      <c r="O712" s="312"/>
      <c r="Q712" s="386"/>
      <c r="R712" s="386"/>
    </row>
    <row r="713" spans="14:18" ht="15.75" customHeight="1" x14ac:dyDescent="0.25">
      <c r="N713" s="312"/>
      <c r="O713" s="312"/>
      <c r="Q713" s="386"/>
      <c r="R713" s="386"/>
    </row>
    <row r="714" spans="14:18" ht="15.75" customHeight="1" x14ac:dyDescent="0.25">
      <c r="N714" s="312"/>
      <c r="O714" s="312"/>
      <c r="Q714" s="386"/>
      <c r="R714" s="386"/>
    </row>
    <row r="715" spans="14:18" ht="15.75" customHeight="1" x14ac:dyDescent="0.25">
      <c r="N715" s="312"/>
      <c r="O715" s="312"/>
      <c r="Q715" s="386"/>
      <c r="R715" s="386"/>
    </row>
    <row r="716" spans="14:18" ht="15.75" customHeight="1" x14ac:dyDescent="0.25">
      <c r="N716" s="312"/>
      <c r="O716" s="312"/>
      <c r="Q716" s="386"/>
      <c r="R716" s="386"/>
    </row>
    <row r="717" spans="14:18" ht="15.75" customHeight="1" x14ac:dyDescent="0.25">
      <c r="N717" s="312"/>
      <c r="O717" s="312"/>
      <c r="Q717" s="386"/>
      <c r="R717" s="386"/>
    </row>
    <row r="718" spans="14:18" ht="15.75" customHeight="1" x14ac:dyDescent="0.25">
      <c r="N718" s="312"/>
      <c r="O718" s="312"/>
      <c r="Q718" s="386"/>
      <c r="R718" s="386"/>
    </row>
    <row r="719" spans="14:18" ht="15.75" customHeight="1" x14ac:dyDescent="0.25">
      <c r="N719" s="312"/>
      <c r="O719" s="312"/>
      <c r="Q719" s="386"/>
      <c r="R719" s="386"/>
    </row>
    <row r="720" spans="14:18" ht="15.75" customHeight="1" x14ac:dyDescent="0.25">
      <c r="N720" s="312"/>
      <c r="O720" s="312"/>
      <c r="Q720" s="386"/>
      <c r="R720" s="386"/>
    </row>
    <row r="721" spans="14:18" ht="15.75" customHeight="1" x14ac:dyDescent="0.25">
      <c r="N721" s="312"/>
      <c r="O721" s="312"/>
      <c r="Q721" s="386"/>
      <c r="R721" s="386"/>
    </row>
    <row r="722" spans="14:18" ht="15.75" customHeight="1" x14ac:dyDescent="0.25">
      <c r="N722" s="312"/>
      <c r="O722" s="312"/>
      <c r="Q722" s="386"/>
      <c r="R722" s="386"/>
    </row>
    <row r="723" spans="14:18" ht="15.75" customHeight="1" x14ac:dyDescent="0.25">
      <c r="N723" s="312"/>
      <c r="O723" s="312"/>
      <c r="Q723" s="386"/>
      <c r="R723" s="386"/>
    </row>
    <row r="724" spans="14:18" ht="15.75" customHeight="1" x14ac:dyDescent="0.25">
      <c r="N724" s="312"/>
      <c r="O724" s="312"/>
      <c r="Q724" s="386"/>
      <c r="R724" s="386"/>
    </row>
    <row r="725" spans="14:18" ht="15.75" customHeight="1" x14ac:dyDescent="0.25">
      <c r="N725" s="312"/>
      <c r="O725" s="312"/>
      <c r="Q725" s="386"/>
      <c r="R725" s="386"/>
    </row>
    <row r="726" spans="14:18" ht="15.75" customHeight="1" x14ac:dyDescent="0.25">
      <c r="N726" s="312"/>
      <c r="O726" s="312"/>
      <c r="Q726" s="386"/>
      <c r="R726" s="386"/>
    </row>
    <row r="727" spans="14:18" ht="15.75" customHeight="1" x14ac:dyDescent="0.25">
      <c r="N727" s="312"/>
      <c r="O727" s="312"/>
      <c r="Q727" s="386"/>
      <c r="R727" s="386"/>
    </row>
    <row r="728" spans="14:18" ht="15.75" customHeight="1" x14ac:dyDescent="0.25">
      <c r="N728" s="312"/>
      <c r="O728" s="312"/>
      <c r="Q728" s="386"/>
      <c r="R728" s="386"/>
    </row>
    <row r="729" spans="14:18" ht="15.75" customHeight="1" x14ac:dyDescent="0.25">
      <c r="N729" s="312"/>
      <c r="O729" s="312"/>
      <c r="Q729" s="386"/>
      <c r="R729" s="386"/>
    </row>
    <row r="730" spans="14:18" ht="15.75" customHeight="1" x14ac:dyDescent="0.25">
      <c r="N730" s="312"/>
      <c r="O730" s="312"/>
      <c r="Q730" s="386"/>
      <c r="R730" s="386"/>
    </row>
    <row r="731" spans="14:18" ht="15.75" customHeight="1" x14ac:dyDescent="0.25">
      <c r="N731" s="312"/>
      <c r="O731" s="312"/>
      <c r="Q731" s="386"/>
      <c r="R731" s="386"/>
    </row>
    <row r="732" spans="14:18" ht="15.75" customHeight="1" x14ac:dyDescent="0.25">
      <c r="N732" s="312"/>
      <c r="O732" s="312"/>
      <c r="Q732" s="386"/>
      <c r="R732" s="386"/>
    </row>
    <row r="733" spans="14:18" ht="15.75" customHeight="1" x14ac:dyDescent="0.25">
      <c r="N733" s="312"/>
      <c r="O733" s="312"/>
      <c r="Q733" s="386"/>
      <c r="R733" s="386"/>
    </row>
    <row r="734" spans="14:18" ht="15.75" customHeight="1" x14ac:dyDescent="0.25">
      <c r="N734" s="312"/>
      <c r="O734" s="312"/>
      <c r="Q734" s="386"/>
      <c r="R734" s="386"/>
    </row>
    <row r="735" spans="14:18" ht="15.75" customHeight="1" x14ac:dyDescent="0.25">
      <c r="N735" s="312"/>
      <c r="O735" s="312"/>
      <c r="Q735" s="386"/>
      <c r="R735" s="386"/>
    </row>
    <row r="736" spans="14:18" ht="15.75" customHeight="1" x14ac:dyDescent="0.25">
      <c r="N736" s="312"/>
      <c r="O736" s="312"/>
      <c r="Q736" s="386"/>
      <c r="R736" s="386"/>
    </row>
    <row r="737" spans="14:18" ht="15.75" customHeight="1" x14ac:dyDescent="0.25">
      <c r="N737" s="312"/>
      <c r="O737" s="312"/>
      <c r="Q737" s="386"/>
      <c r="R737" s="386"/>
    </row>
    <row r="738" spans="14:18" ht="15.75" customHeight="1" x14ac:dyDescent="0.25">
      <c r="N738" s="312"/>
      <c r="O738" s="312"/>
      <c r="Q738" s="386"/>
      <c r="R738" s="386"/>
    </row>
    <row r="739" spans="14:18" ht="15.75" customHeight="1" x14ac:dyDescent="0.25">
      <c r="N739" s="312"/>
      <c r="O739" s="312"/>
      <c r="Q739" s="386"/>
      <c r="R739" s="386"/>
    </row>
    <row r="740" spans="14:18" ht="15.75" customHeight="1" x14ac:dyDescent="0.25">
      <c r="N740" s="312"/>
      <c r="O740" s="312"/>
      <c r="Q740" s="386"/>
      <c r="R740" s="386"/>
    </row>
    <row r="741" spans="14:18" ht="15.75" customHeight="1" x14ac:dyDescent="0.25">
      <c r="N741" s="312"/>
      <c r="O741" s="312"/>
      <c r="Q741" s="386"/>
      <c r="R741" s="386"/>
    </row>
    <row r="742" spans="14:18" ht="15.75" customHeight="1" x14ac:dyDescent="0.25">
      <c r="N742" s="312"/>
      <c r="O742" s="312"/>
      <c r="Q742" s="386"/>
      <c r="R742" s="386"/>
    </row>
    <row r="743" spans="14:18" ht="15.75" customHeight="1" x14ac:dyDescent="0.25">
      <c r="N743" s="312"/>
      <c r="O743" s="312"/>
      <c r="Q743" s="386"/>
      <c r="R743" s="386"/>
    </row>
    <row r="744" spans="14:18" ht="15.75" customHeight="1" x14ac:dyDescent="0.25">
      <c r="N744" s="312"/>
      <c r="O744" s="312"/>
      <c r="Q744" s="386"/>
      <c r="R744" s="386"/>
    </row>
    <row r="745" spans="14:18" ht="15.75" customHeight="1" x14ac:dyDescent="0.25">
      <c r="N745" s="312"/>
      <c r="O745" s="312"/>
      <c r="Q745" s="386"/>
      <c r="R745" s="386"/>
    </row>
    <row r="746" spans="14:18" ht="15.75" customHeight="1" x14ac:dyDescent="0.25">
      <c r="N746" s="312"/>
      <c r="O746" s="312"/>
      <c r="Q746" s="386"/>
      <c r="R746" s="386"/>
    </row>
    <row r="747" spans="14:18" ht="15.75" customHeight="1" x14ac:dyDescent="0.25">
      <c r="N747" s="312"/>
      <c r="O747" s="312"/>
      <c r="Q747" s="386"/>
      <c r="R747" s="386"/>
    </row>
    <row r="748" spans="14:18" ht="15.75" customHeight="1" x14ac:dyDescent="0.25">
      <c r="N748" s="312"/>
      <c r="O748" s="312"/>
      <c r="Q748" s="386"/>
      <c r="R748" s="386"/>
    </row>
    <row r="749" spans="14:18" ht="15.75" customHeight="1" x14ac:dyDescent="0.25">
      <c r="N749" s="312"/>
      <c r="O749" s="312"/>
      <c r="Q749" s="386"/>
      <c r="R749" s="386"/>
    </row>
    <row r="750" spans="14:18" ht="15.75" customHeight="1" x14ac:dyDescent="0.25">
      <c r="N750" s="312"/>
      <c r="O750" s="312"/>
      <c r="Q750" s="386"/>
      <c r="R750" s="386"/>
    </row>
    <row r="751" spans="14:18" ht="15.75" customHeight="1" x14ac:dyDescent="0.25">
      <c r="N751" s="312"/>
      <c r="O751" s="312"/>
      <c r="Q751" s="386"/>
      <c r="R751" s="386"/>
    </row>
    <row r="752" spans="14:18" ht="15.75" customHeight="1" x14ac:dyDescent="0.25">
      <c r="N752" s="312"/>
      <c r="O752" s="312"/>
      <c r="Q752" s="386"/>
      <c r="R752" s="386"/>
    </row>
    <row r="753" spans="14:18" ht="15.75" customHeight="1" x14ac:dyDescent="0.25">
      <c r="N753" s="312"/>
      <c r="O753" s="312"/>
      <c r="Q753" s="386"/>
      <c r="R753" s="386"/>
    </row>
    <row r="754" spans="14:18" ht="15.75" customHeight="1" x14ac:dyDescent="0.25">
      <c r="N754" s="312"/>
      <c r="O754" s="312"/>
      <c r="Q754" s="386"/>
      <c r="R754" s="386"/>
    </row>
    <row r="755" spans="14:18" ht="15.75" customHeight="1" x14ac:dyDescent="0.25">
      <c r="N755" s="312"/>
      <c r="O755" s="312"/>
      <c r="Q755" s="386"/>
      <c r="R755" s="386"/>
    </row>
    <row r="756" spans="14:18" ht="15.75" customHeight="1" x14ac:dyDescent="0.25">
      <c r="N756" s="312"/>
      <c r="O756" s="312"/>
      <c r="Q756" s="386"/>
      <c r="R756" s="386"/>
    </row>
    <row r="757" spans="14:18" ht="15.75" customHeight="1" x14ac:dyDescent="0.25">
      <c r="N757" s="312"/>
      <c r="O757" s="312"/>
      <c r="Q757" s="386"/>
      <c r="R757" s="386"/>
    </row>
    <row r="758" spans="14:18" ht="15.75" customHeight="1" x14ac:dyDescent="0.25">
      <c r="N758" s="312"/>
      <c r="O758" s="312"/>
      <c r="Q758" s="386"/>
      <c r="R758" s="386"/>
    </row>
    <row r="759" spans="14:18" ht="15.75" customHeight="1" x14ac:dyDescent="0.25">
      <c r="N759" s="312"/>
      <c r="O759" s="312"/>
      <c r="Q759" s="386"/>
      <c r="R759" s="386"/>
    </row>
    <row r="760" spans="14:18" ht="15.75" customHeight="1" x14ac:dyDescent="0.25">
      <c r="N760" s="312"/>
      <c r="O760" s="312"/>
      <c r="Q760" s="386"/>
      <c r="R760" s="386"/>
    </row>
    <row r="761" spans="14:18" ht="15.75" customHeight="1" x14ac:dyDescent="0.25">
      <c r="N761" s="312"/>
      <c r="O761" s="312"/>
      <c r="Q761" s="386"/>
      <c r="R761" s="386"/>
    </row>
    <row r="762" spans="14:18" ht="15.75" customHeight="1" x14ac:dyDescent="0.25">
      <c r="N762" s="312"/>
      <c r="O762" s="312"/>
      <c r="Q762" s="386"/>
      <c r="R762" s="386"/>
    </row>
    <row r="763" spans="14:18" ht="15.75" customHeight="1" x14ac:dyDescent="0.25">
      <c r="N763" s="312"/>
      <c r="O763" s="312"/>
      <c r="Q763" s="386"/>
      <c r="R763" s="386"/>
    </row>
    <row r="764" spans="14:18" ht="15.75" customHeight="1" x14ac:dyDescent="0.25">
      <c r="N764" s="312"/>
      <c r="O764" s="312"/>
      <c r="Q764" s="386"/>
      <c r="R764" s="386"/>
    </row>
    <row r="765" spans="14:18" ht="15.75" customHeight="1" x14ac:dyDescent="0.25">
      <c r="N765" s="312"/>
      <c r="O765" s="312"/>
      <c r="Q765" s="386"/>
      <c r="R765" s="386"/>
    </row>
    <row r="766" spans="14:18" ht="15.75" customHeight="1" x14ac:dyDescent="0.25">
      <c r="N766" s="312"/>
      <c r="O766" s="312"/>
      <c r="Q766" s="386"/>
      <c r="R766" s="386"/>
    </row>
    <row r="767" spans="14:18" ht="15.75" customHeight="1" x14ac:dyDescent="0.25">
      <c r="N767" s="312"/>
      <c r="O767" s="312"/>
      <c r="Q767" s="386"/>
      <c r="R767" s="386"/>
    </row>
    <row r="768" spans="14:18" ht="15.75" customHeight="1" x14ac:dyDescent="0.25">
      <c r="N768" s="312"/>
      <c r="O768" s="312"/>
      <c r="Q768" s="386"/>
      <c r="R768" s="386"/>
    </row>
    <row r="769" spans="14:18" ht="15.75" customHeight="1" x14ac:dyDescent="0.25">
      <c r="N769" s="312"/>
      <c r="O769" s="312"/>
      <c r="Q769" s="386"/>
      <c r="R769" s="386"/>
    </row>
    <row r="770" spans="14:18" ht="15.75" customHeight="1" x14ac:dyDescent="0.25">
      <c r="N770" s="312"/>
      <c r="O770" s="312"/>
      <c r="Q770" s="386"/>
      <c r="R770" s="386"/>
    </row>
    <row r="771" spans="14:18" ht="15.75" customHeight="1" x14ac:dyDescent="0.25">
      <c r="N771" s="312"/>
      <c r="O771" s="312"/>
      <c r="Q771" s="386"/>
      <c r="R771" s="386"/>
    </row>
    <row r="772" spans="14:18" ht="15.75" customHeight="1" x14ac:dyDescent="0.25">
      <c r="N772" s="312"/>
      <c r="O772" s="312"/>
      <c r="Q772" s="386"/>
      <c r="R772" s="386"/>
    </row>
    <row r="773" spans="14:18" ht="15.75" customHeight="1" x14ac:dyDescent="0.25">
      <c r="N773" s="312"/>
      <c r="O773" s="312"/>
      <c r="Q773" s="386"/>
      <c r="R773" s="386"/>
    </row>
    <row r="774" spans="14:18" ht="15.75" customHeight="1" x14ac:dyDescent="0.25">
      <c r="N774" s="312"/>
      <c r="O774" s="312"/>
      <c r="Q774" s="386"/>
      <c r="R774" s="386"/>
    </row>
    <row r="775" spans="14:18" ht="15.75" customHeight="1" x14ac:dyDescent="0.25">
      <c r="N775" s="312"/>
      <c r="O775" s="312"/>
      <c r="Q775" s="386"/>
      <c r="R775" s="386"/>
    </row>
    <row r="776" spans="14:18" ht="15.75" customHeight="1" x14ac:dyDescent="0.25">
      <c r="N776" s="312"/>
      <c r="O776" s="312"/>
      <c r="Q776" s="386"/>
      <c r="R776" s="386"/>
    </row>
    <row r="777" spans="14:18" ht="15.75" customHeight="1" x14ac:dyDescent="0.25">
      <c r="N777" s="312"/>
      <c r="O777" s="312"/>
      <c r="Q777" s="386"/>
      <c r="R777" s="386"/>
    </row>
    <row r="778" spans="14:18" ht="15.75" customHeight="1" x14ac:dyDescent="0.25">
      <c r="N778" s="312"/>
      <c r="O778" s="312"/>
      <c r="Q778" s="386"/>
      <c r="R778" s="386"/>
    </row>
    <row r="779" spans="14:18" ht="15.75" customHeight="1" x14ac:dyDescent="0.25">
      <c r="N779" s="312"/>
      <c r="O779" s="312"/>
      <c r="Q779" s="386"/>
      <c r="R779" s="386"/>
    </row>
    <row r="780" spans="14:18" ht="15.75" customHeight="1" x14ac:dyDescent="0.25">
      <c r="N780" s="312"/>
      <c r="O780" s="312"/>
      <c r="Q780" s="386"/>
      <c r="R780" s="386"/>
    </row>
    <row r="781" spans="14:18" ht="15.75" customHeight="1" x14ac:dyDescent="0.25">
      <c r="N781" s="312"/>
      <c r="O781" s="312"/>
      <c r="Q781" s="386"/>
      <c r="R781" s="386"/>
    </row>
    <row r="782" spans="14:18" ht="15.75" customHeight="1" x14ac:dyDescent="0.25">
      <c r="N782" s="312"/>
      <c r="O782" s="312"/>
      <c r="Q782" s="386"/>
      <c r="R782" s="386"/>
    </row>
    <row r="783" spans="14:18" ht="15.75" customHeight="1" x14ac:dyDescent="0.25">
      <c r="N783" s="312"/>
      <c r="O783" s="312"/>
      <c r="Q783" s="386"/>
      <c r="R783" s="386"/>
    </row>
    <row r="784" spans="14:18" ht="15.75" customHeight="1" x14ac:dyDescent="0.25">
      <c r="N784" s="312"/>
      <c r="O784" s="312"/>
      <c r="Q784" s="386"/>
      <c r="R784" s="386"/>
    </row>
    <row r="785" spans="14:18" ht="15.75" customHeight="1" x14ac:dyDescent="0.25">
      <c r="N785" s="312"/>
      <c r="O785" s="312"/>
      <c r="Q785" s="386"/>
      <c r="R785" s="386"/>
    </row>
    <row r="786" spans="14:18" ht="15.75" customHeight="1" x14ac:dyDescent="0.25">
      <c r="N786" s="312"/>
      <c r="O786" s="312"/>
      <c r="Q786" s="386"/>
      <c r="R786" s="386"/>
    </row>
    <row r="787" spans="14:18" ht="15.75" customHeight="1" x14ac:dyDescent="0.25">
      <c r="N787" s="312"/>
      <c r="O787" s="312"/>
      <c r="Q787" s="386"/>
      <c r="R787" s="386"/>
    </row>
    <row r="788" spans="14:18" ht="15.75" customHeight="1" x14ac:dyDescent="0.25">
      <c r="N788" s="312"/>
      <c r="O788" s="312"/>
      <c r="Q788" s="386"/>
      <c r="R788" s="386"/>
    </row>
    <row r="789" spans="14:18" ht="15.75" customHeight="1" x14ac:dyDescent="0.25">
      <c r="N789" s="312"/>
      <c r="O789" s="312"/>
      <c r="Q789" s="386"/>
      <c r="R789" s="386"/>
    </row>
    <row r="790" spans="14:18" ht="15.75" customHeight="1" x14ac:dyDescent="0.25">
      <c r="N790" s="312"/>
      <c r="O790" s="312"/>
      <c r="Q790" s="386"/>
      <c r="R790" s="386"/>
    </row>
    <row r="791" spans="14:18" ht="15.75" customHeight="1" x14ac:dyDescent="0.25">
      <c r="N791" s="312"/>
      <c r="O791" s="312"/>
      <c r="Q791" s="386"/>
      <c r="R791" s="386"/>
    </row>
    <row r="792" spans="14:18" ht="15.75" customHeight="1" x14ac:dyDescent="0.25">
      <c r="N792" s="312"/>
      <c r="O792" s="312"/>
      <c r="Q792" s="386"/>
      <c r="R792" s="386"/>
    </row>
    <row r="793" spans="14:18" ht="15.75" customHeight="1" x14ac:dyDescent="0.25">
      <c r="N793" s="312"/>
      <c r="O793" s="312"/>
      <c r="Q793" s="386"/>
      <c r="R793" s="386"/>
    </row>
    <row r="794" spans="14:18" ht="15.75" customHeight="1" x14ac:dyDescent="0.25">
      <c r="N794" s="312"/>
      <c r="O794" s="312"/>
      <c r="Q794" s="386"/>
      <c r="R794" s="386"/>
    </row>
    <row r="795" spans="14:18" ht="15.75" customHeight="1" x14ac:dyDescent="0.25">
      <c r="N795" s="312"/>
      <c r="O795" s="312"/>
      <c r="Q795" s="386"/>
      <c r="R795" s="386"/>
    </row>
    <row r="796" spans="14:18" ht="15.75" customHeight="1" x14ac:dyDescent="0.25">
      <c r="N796" s="312"/>
      <c r="O796" s="312"/>
      <c r="Q796" s="386"/>
      <c r="R796" s="386"/>
    </row>
    <row r="797" spans="14:18" ht="15.75" customHeight="1" x14ac:dyDescent="0.25">
      <c r="N797" s="312"/>
      <c r="O797" s="312"/>
      <c r="Q797" s="386"/>
      <c r="R797" s="386"/>
    </row>
    <row r="798" spans="14:18" ht="15.75" customHeight="1" x14ac:dyDescent="0.25">
      <c r="N798" s="312"/>
      <c r="O798" s="312"/>
      <c r="Q798" s="386"/>
      <c r="R798" s="386"/>
    </row>
    <row r="799" spans="14:18" ht="15.75" customHeight="1" x14ac:dyDescent="0.25">
      <c r="N799" s="312"/>
      <c r="O799" s="312"/>
      <c r="Q799" s="386"/>
      <c r="R799" s="386"/>
    </row>
    <row r="800" spans="14:18" ht="15.75" customHeight="1" x14ac:dyDescent="0.25">
      <c r="N800" s="312"/>
      <c r="O800" s="312"/>
      <c r="Q800" s="386"/>
      <c r="R800" s="386"/>
    </row>
    <row r="801" spans="14:18" ht="15.75" customHeight="1" x14ac:dyDescent="0.25">
      <c r="N801" s="312"/>
      <c r="O801" s="312"/>
      <c r="Q801" s="386"/>
      <c r="R801" s="386"/>
    </row>
    <row r="802" spans="14:18" ht="15.75" customHeight="1" x14ac:dyDescent="0.25">
      <c r="N802" s="312"/>
      <c r="O802" s="312"/>
      <c r="Q802" s="386"/>
      <c r="R802" s="386"/>
    </row>
    <row r="803" spans="14:18" ht="15.75" customHeight="1" x14ac:dyDescent="0.25">
      <c r="N803" s="312"/>
      <c r="O803" s="312"/>
      <c r="Q803" s="386"/>
      <c r="R803" s="386"/>
    </row>
    <row r="804" spans="14:18" ht="15.75" customHeight="1" x14ac:dyDescent="0.25">
      <c r="N804" s="312"/>
      <c r="O804" s="312"/>
      <c r="Q804" s="386"/>
      <c r="R804" s="386"/>
    </row>
    <row r="805" spans="14:18" ht="15.75" customHeight="1" x14ac:dyDescent="0.25">
      <c r="N805" s="312"/>
      <c r="O805" s="312"/>
      <c r="Q805" s="386"/>
      <c r="R805" s="386"/>
    </row>
    <row r="806" spans="14:18" ht="15.75" customHeight="1" x14ac:dyDescent="0.25">
      <c r="N806" s="312"/>
      <c r="O806" s="312"/>
      <c r="Q806" s="386"/>
      <c r="R806" s="386"/>
    </row>
    <row r="807" spans="14:18" ht="15.75" customHeight="1" x14ac:dyDescent="0.25">
      <c r="N807" s="312"/>
      <c r="O807" s="312"/>
      <c r="Q807" s="386"/>
      <c r="R807" s="386"/>
    </row>
    <row r="808" spans="14:18" ht="15.75" customHeight="1" x14ac:dyDescent="0.25">
      <c r="N808" s="312"/>
      <c r="O808" s="312"/>
      <c r="Q808" s="386"/>
      <c r="R808" s="386"/>
    </row>
    <row r="809" spans="14:18" ht="15.75" customHeight="1" x14ac:dyDescent="0.25">
      <c r="N809" s="312"/>
      <c r="O809" s="312"/>
      <c r="Q809" s="386"/>
      <c r="R809" s="386"/>
    </row>
    <row r="810" spans="14:18" ht="15.75" customHeight="1" x14ac:dyDescent="0.25">
      <c r="N810" s="312"/>
      <c r="O810" s="312"/>
      <c r="Q810" s="386"/>
      <c r="R810" s="386"/>
    </row>
    <row r="811" spans="14:18" ht="15.75" customHeight="1" x14ac:dyDescent="0.25">
      <c r="N811" s="312"/>
      <c r="O811" s="312"/>
      <c r="Q811" s="386"/>
      <c r="R811" s="386"/>
    </row>
    <row r="812" spans="14:18" ht="15.75" customHeight="1" x14ac:dyDescent="0.25">
      <c r="N812" s="312"/>
      <c r="O812" s="312"/>
      <c r="Q812" s="386"/>
      <c r="R812" s="386"/>
    </row>
    <row r="813" spans="14:18" ht="15.75" customHeight="1" x14ac:dyDescent="0.25">
      <c r="N813" s="312"/>
      <c r="O813" s="312"/>
      <c r="Q813" s="386"/>
      <c r="R813" s="386"/>
    </row>
    <row r="814" spans="14:18" ht="15.75" customHeight="1" x14ac:dyDescent="0.25">
      <c r="N814" s="312"/>
      <c r="O814" s="312"/>
      <c r="Q814" s="386"/>
      <c r="R814" s="386"/>
    </row>
    <row r="815" spans="14:18" ht="15.75" customHeight="1" x14ac:dyDescent="0.25">
      <c r="N815" s="312"/>
      <c r="O815" s="312"/>
      <c r="Q815" s="386"/>
      <c r="R815" s="386"/>
    </row>
    <row r="816" spans="14:18" ht="15.75" customHeight="1" x14ac:dyDescent="0.25">
      <c r="N816" s="312"/>
      <c r="O816" s="312"/>
      <c r="Q816" s="386"/>
      <c r="R816" s="386"/>
    </row>
    <row r="817" spans="14:18" ht="15.75" customHeight="1" x14ac:dyDescent="0.25">
      <c r="N817" s="312"/>
      <c r="O817" s="312"/>
      <c r="Q817" s="386"/>
      <c r="R817" s="386"/>
    </row>
    <row r="818" spans="14:18" ht="15.75" customHeight="1" x14ac:dyDescent="0.25">
      <c r="N818" s="312"/>
      <c r="O818" s="312"/>
      <c r="Q818" s="386"/>
      <c r="R818" s="386"/>
    </row>
    <row r="819" spans="14:18" ht="15.75" customHeight="1" x14ac:dyDescent="0.25">
      <c r="N819" s="312"/>
      <c r="O819" s="312"/>
      <c r="Q819" s="386"/>
      <c r="R819" s="386"/>
    </row>
    <row r="820" spans="14:18" ht="15.75" customHeight="1" x14ac:dyDescent="0.25">
      <c r="N820" s="312"/>
      <c r="O820" s="312"/>
      <c r="Q820" s="386"/>
      <c r="R820" s="386"/>
    </row>
    <row r="821" spans="14:18" ht="15.75" customHeight="1" x14ac:dyDescent="0.25">
      <c r="N821" s="312"/>
      <c r="O821" s="312"/>
      <c r="Q821" s="386"/>
      <c r="R821" s="386"/>
    </row>
    <row r="822" spans="14:18" ht="15.75" customHeight="1" x14ac:dyDescent="0.25">
      <c r="N822" s="312"/>
      <c r="O822" s="312"/>
      <c r="Q822" s="386"/>
      <c r="R822" s="386"/>
    </row>
    <row r="823" spans="14:18" ht="15.75" customHeight="1" x14ac:dyDescent="0.25">
      <c r="N823" s="312"/>
      <c r="O823" s="312"/>
      <c r="Q823" s="386"/>
      <c r="R823" s="386"/>
    </row>
    <row r="824" spans="14:18" ht="15.75" customHeight="1" x14ac:dyDescent="0.25">
      <c r="N824" s="312"/>
      <c r="O824" s="312"/>
      <c r="Q824" s="386"/>
      <c r="R824" s="386"/>
    </row>
    <row r="825" spans="14:18" ht="15.75" customHeight="1" x14ac:dyDescent="0.25">
      <c r="N825" s="312"/>
      <c r="O825" s="312"/>
      <c r="Q825" s="386"/>
      <c r="R825" s="386"/>
    </row>
    <row r="826" spans="14:18" ht="15.75" customHeight="1" x14ac:dyDescent="0.25">
      <c r="N826" s="312"/>
      <c r="O826" s="312"/>
      <c r="Q826" s="386"/>
      <c r="R826" s="386"/>
    </row>
    <row r="827" spans="14:18" ht="15.75" customHeight="1" x14ac:dyDescent="0.25">
      <c r="N827" s="312"/>
      <c r="O827" s="312"/>
      <c r="Q827" s="386"/>
      <c r="R827" s="386"/>
    </row>
    <row r="828" spans="14:18" ht="15.75" customHeight="1" x14ac:dyDescent="0.25">
      <c r="N828" s="312"/>
      <c r="O828" s="312"/>
      <c r="Q828" s="386"/>
      <c r="R828" s="386"/>
    </row>
    <row r="829" spans="14:18" ht="15.75" customHeight="1" x14ac:dyDescent="0.25">
      <c r="N829" s="312"/>
      <c r="O829" s="312"/>
      <c r="Q829" s="386"/>
      <c r="R829" s="386"/>
    </row>
    <row r="830" spans="14:18" ht="15.75" customHeight="1" x14ac:dyDescent="0.25">
      <c r="N830" s="312"/>
      <c r="O830" s="312"/>
      <c r="Q830" s="386"/>
      <c r="R830" s="386"/>
    </row>
    <row r="831" spans="14:18" ht="15.75" customHeight="1" x14ac:dyDescent="0.25">
      <c r="N831" s="312"/>
      <c r="O831" s="312"/>
      <c r="Q831" s="386"/>
      <c r="R831" s="386"/>
    </row>
    <row r="832" spans="14:18" ht="15.75" customHeight="1" x14ac:dyDescent="0.25">
      <c r="N832" s="312"/>
      <c r="O832" s="312"/>
      <c r="Q832" s="386"/>
      <c r="R832" s="386"/>
    </row>
    <row r="833" spans="14:18" ht="15.75" customHeight="1" x14ac:dyDescent="0.25">
      <c r="N833" s="312"/>
      <c r="O833" s="312"/>
      <c r="Q833" s="386"/>
      <c r="R833" s="386"/>
    </row>
    <row r="834" spans="14:18" ht="15.75" customHeight="1" x14ac:dyDescent="0.25">
      <c r="N834" s="312"/>
      <c r="O834" s="312"/>
      <c r="Q834" s="386"/>
      <c r="R834" s="386"/>
    </row>
    <row r="835" spans="14:18" ht="15.75" customHeight="1" x14ac:dyDescent="0.25">
      <c r="N835" s="312"/>
      <c r="O835" s="312"/>
      <c r="Q835" s="386"/>
      <c r="R835" s="386"/>
    </row>
    <row r="836" spans="14:18" ht="15.75" customHeight="1" x14ac:dyDescent="0.25">
      <c r="N836" s="312"/>
      <c r="O836" s="312"/>
      <c r="Q836" s="386"/>
      <c r="R836" s="386"/>
    </row>
    <row r="837" spans="14:18" ht="15.75" customHeight="1" x14ac:dyDescent="0.25">
      <c r="N837" s="312"/>
      <c r="O837" s="312"/>
      <c r="Q837" s="386"/>
      <c r="R837" s="386"/>
    </row>
    <row r="838" spans="14:18" ht="15.75" customHeight="1" x14ac:dyDescent="0.25">
      <c r="N838" s="312"/>
      <c r="O838" s="312"/>
      <c r="Q838" s="386"/>
      <c r="R838" s="386"/>
    </row>
    <row r="839" spans="14:18" ht="15.75" customHeight="1" x14ac:dyDescent="0.25">
      <c r="N839" s="312"/>
      <c r="O839" s="312"/>
      <c r="Q839" s="386"/>
      <c r="R839" s="386"/>
    </row>
    <row r="840" spans="14:18" ht="15.75" customHeight="1" x14ac:dyDescent="0.25">
      <c r="N840" s="312"/>
      <c r="O840" s="312"/>
      <c r="Q840" s="386"/>
      <c r="R840" s="386"/>
    </row>
    <row r="841" spans="14:18" ht="15.75" customHeight="1" x14ac:dyDescent="0.25">
      <c r="N841" s="312"/>
      <c r="O841" s="312"/>
      <c r="Q841" s="386"/>
      <c r="R841" s="386"/>
    </row>
    <row r="842" spans="14:18" ht="15.75" customHeight="1" x14ac:dyDescent="0.25">
      <c r="N842" s="312"/>
      <c r="O842" s="312"/>
      <c r="Q842" s="386"/>
      <c r="R842" s="386"/>
    </row>
    <row r="843" spans="14:18" ht="15.75" customHeight="1" x14ac:dyDescent="0.25">
      <c r="N843" s="312"/>
      <c r="O843" s="312"/>
      <c r="Q843" s="386"/>
      <c r="R843" s="386"/>
    </row>
    <row r="844" spans="14:18" ht="15.75" customHeight="1" x14ac:dyDescent="0.25">
      <c r="N844" s="312"/>
      <c r="O844" s="312"/>
      <c r="Q844" s="386"/>
      <c r="R844" s="386"/>
    </row>
    <row r="845" spans="14:18" ht="15.75" customHeight="1" x14ac:dyDescent="0.25">
      <c r="N845" s="312"/>
      <c r="O845" s="312"/>
      <c r="Q845" s="386"/>
      <c r="R845" s="386"/>
    </row>
    <row r="846" spans="14:18" ht="15.75" customHeight="1" x14ac:dyDescent="0.25">
      <c r="N846" s="312"/>
      <c r="O846" s="312"/>
      <c r="Q846" s="386"/>
      <c r="R846" s="386"/>
    </row>
    <row r="847" spans="14:18" ht="15.75" customHeight="1" x14ac:dyDescent="0.25">
      <c r="N847" s="312"/>
      <c r="O847" s="312"/>
      <c r="Q847" s="386"/>
      <c r="R847" s="386"/>
    </row>
    <row r="848" spans="14:18" ht="15.75" customHeight="1" x14ac:dyDescent="0.25">
      <c r="N848" s="312"/>
      <c r="O848" s="312"/>
      <c r="Q848" s="386"/>
      <c r="R848" s="386"/>
    </row>
    <row r="849" spans="14:18" ht="15.75" customHeight="1" x14ac:dyDescent="0.25">
      <c r="N849" s="312"/>
      <c r="O849" s="312"/>
      <c r="Q849" s="386"/>
      <c r="R849" s="386"/>
    </row>
    <row r="850" spans="14:18" ht="15.75" customHeight="1" x14ac:dyDescent="0.25">
      <c r="N850" s="312"/>
      <c r="O850" s="312"/>
      <c r="Q850" s="386"/>
      <c r="R850" s="386"/>
    </row>
    <row r="851" spans="14:18" ht="15.75" customHeight="1" x14ac:dyDescent="0.25">
      <c r="N851" s="312"/>
      <c r="O851" s="312"/>
      <c r="Q851" s="386"/>
      <c r="R851" s="386"/>
    </row>
    <row r="852" spans="14:18" ht="15.75" customHeight="1" x14ac:dyDescent="0.25">
      <c r="N852" s="312"/>
      <c r="O852" s="312"/>
      <c r="Q852" s="386"/>
      <c r="R852" s="386"/>
    </row>
    <row r="853" spans="14:18" ht="15.75" customHeight="1" x14ac:dyDescent="0.25">
      <c r="N853" s="312"/>
      <c r="O853" s="312"/>
      <c r="Q853" s="386"/>
      <c r="R853" s="386"/>
    </row>
    <row r="854" spans="14:18" ht="15.75" customHeight="1" x14ac:dyDescent="0.25">
      <c r="N854" s="312"/>
      <c r="O854" s="312"/>
      <c r="Q854" s="386"/>
      <c r="R854" s="386"/>
    </row>
    <row r="855" spans="14:18" ht="15.75" customHeight="1" x14ac:dyDescent="0.25">
      <c r="N855" s="312"/>
      <c r="O855" s="312"/>
      <c r="Q855" s="386"/>
      <c r="R855" s="386"/>
    </row>
    <row r="856" spans="14:18" ht="15.75" customHeight="1" x14ac:dyDescent="0.25">
      <c r="N856" s="312"/>
      <c r="O856" s="312"/>
      <c r="Q856" s="386"/>
      <c r="R856" s="386"/>
    </row>
    <row r="857" spans="14:18" ht="15.75" customHeight="1" x14ac:dyDescent="0.25">
      <c r="N857" s="312"/>
      <c r="O857" s="312"/>
      <c r="Q857" s="386"/>
      <c r="R857" s="386"/>
    </row>
    <row r="858" spans="14:18" ht="15.75" customHeight="1" x14ac:dyDescent="0.25">
      <c r="N858" s="312"/>
      <c r="O858" s="312"/>
      <c r="Q858" s="386"/>
      <c r="R858" s="386"/>
    </row>
    <row r="859" spans="14:18" ht="15.75" customHeight="1" x14ac:dyDescent="0.25">
      <c r="N859" s="312"/>
      <c r="O859" s="312"/>
      <c r="Q859" s="386"/>
      <c r="R859" s="386"/>
    </row>
    <row r="860" spans="14:18" ht="15.75" customHeight="1" x14ac:dyDescent="0.25">
      <c r="N860" s="312"/>
      <c r="O860" s="312"/>
      <c r="Q860" s="386"/>
      <c r="R860" s="386"/>
    </row>
    <row r="861" spans="14:18" ht="15.75" customHeight="1" x14ac:dyDescent="0.25">
      <c r="N861" s="312"/>
      <c r="O861" s="312"/>
      <c r="Q861" s="386"/>
      <c r="R861" s="386"/>
    </row>
    <row r="862" spans="14:18" ht="15.75" customHeight="1" x14ac:dyDescent="0.25">
      <c r="N862" s="312"/>
      <c r="O862" s="312"/>
      <c r="Q862" s="386"/>
      <c r="R862" s="386"/>
    </row>
    <row r="863" spans="14:18" ht="15.75" customHeight="1" x14ac:dyDescent="0.25">
      <c r="N863" s="312"/>
      <c r="O863" s="312"/>
      <c r="Q863" s="386"/>
      <c r="R863" s="386"/>
    </row>
    <row r="864" spans="14:18" ht="15.75" customHeight="1" x14ac:dyDescent="0.25">
      <c r="N864" s="312"/>
      <c r="O864" s="312"/>
      <c r="Q864" s="386"/>
      <c r="R864" s="386"/>
    </row>
    <row r="865" spans="14:18" ht="15.75" customHeight="1" x14ac:dyDescent="0.25">
      <c r="N865" s="312"/>
      <c r="O865" s="312"/>
      <c r="Q865" s="386"/>
      <c r="R865" s="386"/>
    </row>
    <row r="866" spans="14:18" ht="15.75" customHeight="1" x14ac:dyDescent="0.25">
      <c r="N866" s="312"/>
      <c r="O866" s="312"/>
      <c r="Q866" s="386"/>
      <c r="R866" s="386"/>
    </row>
    <row r="867" spans="14:18" ht="15.75" customHeight="1" x14ac:dyDescent="0.25">
      <c r="N867" s="312"/>
      <c r="O867" s="312"/>
      <c r="Q867" s="386"/>
      <c r="R867" s="386"/>
    </row>
    <row r="868" spans="14:18" ht="15.75" customHeight="1" x14ac:dyDescent="0.25">
      <c r="N868" s="312"/>
      <c r="O868" s="312"/>
      <c r="Q868" s="386"/>
      <c r="R868" s="386"/>
    </row>
    <row r="869" spans="14:18" ht="15.75" customHeight="1" x14ac:dyDescent="0.25">
      <c r="N869" s="312"/>
      <c r="O869" s="312"/>
      <c r="Q869" s="386"/>
      <c r="R869" s="386"/>
    </row>
    <row r="870" spans="14:18" ht="15.75" customHeight="1" x14ac:dyDescent="0.25">
      <c r="N870" s="312"/>
      <c r="O870" s="312"/>
      <c r="Q870" s="386"/>
      <c r="R870" s="386"/>
    </row>
    <row r="871" spans="14:18" ht="15.75" customHeight="1" x14ac:dyDescent="0.25">
      <c r="N871" s="312"/>
      <c r="O871" s="312"/>
      <c r="Q871" s="386"/>
      <c r="R871" s="386"/>
    </row>
    <row r="872" spans="14:18" ht="15.75" customHeight="1" x14ac:dyDescent="0.25">
      <c r="N872" s="312"/>
      <c r="O872" s="312"/>
      <c r="Q872" s="386"/>
      <c r="R872" s="386"/>
    </row>
    <row r="873" spans="14:18" ht="15.75" customHeight="1" x14ac:dyDescent="0.25">
      <c r="N873" s="312"/>
      <c r="O873" s="312"/>
      <c r="Q873" s="386"/>
      <c r="R873" s="386"/>
    </row>
    <row r="874" spans="14:18" ht="15.75" customHeight="1" x14ac:dyDescent="0.25">
      <c r="N874" s="312"/>
      <c r="O874" s="312"/>
      <c r="Q874" s="386"/>
      <c r="R874" s="386"/>
    </row>
    <row r="875" spans="14:18" ht="15.75" customHeight="1" x14ac:dyDescent="0.25">
      <c r="N875" s="312"/>
      <c r="O875" s="312"/>
      <c r="Q875" s="386"/>
      <c r="R875" s="386"/>
    </row>
    <row r="876" spans="14:18" ht="15.75" customHeight="1" x14ac:dyDescent="0.25">
      <c r="N876" s="312"/>
      <c r="O876" s="312"/>
      <c r="Q876" s="386"/>
      <c r="R876" s="386"/>
    </row>
    <row r="877" spans="14:18" ht="15.75" customHeight="1" x14ac:dyDescent="0.25">
      <c r="N877" s="312"/>
      <c r="O877" s="312"/>
      <c r="Q877" s="386"/>
      <c r="R877" s="386"/>
    </row>
    <row r="878" spans="14:18" ht="15.75" customHeight="1" x14ac:dyDescent="0.25">
      <c r="N878" s="312"/>
      <c r="O878" s="312"/>
      <c r="Q878" s="386"/>
      <c r="R878" s="386"/>
    </row>
    <row r="879" spans="14:18" ht="15.75" customHeight="1" x14ac:dyDescent="0.25">
      <c r="N879" s="312"/>
      <c r="O879" s="312"/>
      <c r="Q879" s="386"/>
      <c r="R879" s="386"/>
    </row>
    <row r="880" spans="14:18" ht="15.75" customHeight="1" x14ac:dyDescent="0.25">
      <c r="N880" s="312"/>
      <c r="O880" s="312"/>
      <c r="Q880" s="386"/>
      <c r="R880" s="386"/>
    </row>
    <row r="881" spans="14:18" ht="15.75" customHeight="1" x14ac:dyDescent="0.25">
      <c r="N881" s="312"/>
      <c r="O881" s="312"/>
      <c r="Q881" s="386"/>
      <c r="R881" s="386"/>
    </row>
    <row r="882" spans="14:18" ht="15.75" customHeight="1" x14ac:dyDescent="0.25">
      <c r="N882" s="312"/>
      <c r="O882" s="312"/>
      <c r="Q882" s="386"/>
      <c r="R882" s="386"/>
    </row>
    <row r="883" spans="14:18" ht="15.75" customHeight="1" x14ac:dyDescent="0.25">
      <c r="N883" s="312"/>
      <c r="O883" s="312"/>
      <c r="Q883" s="386"/>
      <c r="R883" s="386"/>
    </row>
    <row r="884" spans="14:18" ht="15.75" customHeight="1" x14ac:dyDescent="0.25">
      <c r="N884" s="312"/>
      <c r="O884" s="312"/>
      <c r="Q884" s="386"/>
      <c r="R884" s="386"/>
    </row>
    <row r="885" spans="14:18" ht="15.75" customHeight="1" x14ac:dyDescent="0.25">
      <c r="N885" s="312"/>
      <c r="O885" s="312"/>
      <c r="Q885" s="386"/>
      <c r="R885" s="386"/>
    </row>
    <row r="886" spans="14:18" ht="15.75" customHeight="1" x14ac:dyDescent="0.25">
      <c r="N886" s="312"/>
      <c r="O886" s="312"/>
      <c r="Q886" s="386"/>
      <c r="R886" s="386"/>
    </row>
    <row r="887" spans="14:18" ht="15.75" customHeight="1" x14ac:dyDescent="0.25">
      <c r="N887" s="312"/>
      <c r="O887" s="312"/>
      <c r="Q887" s="386"/>
      <c r="R887" s="386"/>
    </row>
    <row r="888" spans="14:18" ht="15.75" customHeight="1" x14ac:dyDescent="0.25">
      <c r="N888" s="312"/>
      <c r="O888" s="312"/>
      <c r="Q888" s="386"/>
      <c r="R888" s="386"/>
    </row>
    <row r="889" spans="14:18" ht="15.75" customHeight="1" x14ac:dyDescent="0.25">
      <c r="N889" s="312"/>
      <c r="O889" s="312"/>
      <c r="Q889" s="386"/>
      <c r="R889" s="386"/>
    </row>
    <row r="890" spans="14:18" ht="15.75" customHeight="1" x14ac:dyDescent="0.25">
      <c r="N890" s="312"/>
      <c r="O890" s="312"/>
      <c r="Q890" s="386"/>
      <c r="R890" s="386"/>
    </row>
    <row r="891" spans="14:18" ht="15.75" customHeight="1" x14ac:dyDescent="0.25">
      <c r="N891" s="312"/>
      <c r="O891" s="312"/>
      <c r="Q891" s="386"/>
      <c r="R891" s="386"/>
    </row>
    <row r="892" spans="14:18" ht="15.75" customHeight="1" x14ac:dyDescent="0.25">
      <c r="N892" s="312"/>
      <c r="O892" s="312"/>
      <c r="Q892" s="386"/>
      <c r="R892" s="386"/>
    </row>
    <row r="893" spans="14:18" ht="15.75" customHeight="1" x14ac:dyDescent="0.25">
      <c r="N893" s="312"/>
      <c r="O893" s="312"/>
      <c r="Q893" s="386"/>
      <c r="R893" s="386"/>
    </row>
    <row r="894" spans="14:18" ht="15.75" customHeight="1" x14ac:dyDescent="0.25">
      <c r="N894" s="312"/>
      <c r="O894" s="312"/>
      <c r="Q894" s="386"/>
      <c r="R894" s="386"/>
    </row>
    <row r="895" spans="14:18" ht="15.75" customHeight="1" x14ac:dyDescent="0.25">
      <c r="N895" s="312"/>
      <c r="O895" s="312"/>
      <c r="Q895" s="386"/>
      <c r="R895" s="386"/>
    </row>
    <row r="896" spans="14:18" ht="15.75" customHeight="1" x14ac:dyDescent="0.25">
      <c r="N896" s="312"/>
      <c r="O896" s="312"/>
      <c r="Q896" s="386"/>
      <c r="R896" s="386"/>
    </row>
    <row r="897" spans="14:18" ht="15.75" customHeight="1" x14ac:dyDescent="0.25">
      <c r="N897" s="312"/>
      <c r="O897" s="312"/>
      <c r="Q897" s="386"/>
      <c r="R897" s="386"/>
    </row>
    <row r="898" spans="14:18" ht="15.75" customHeight="1" x14ac:dyDescent="0.25">
      <c r="N898" s="312"/>
      <c r="O898" s="312"/>
      <c r="Q898" s="386"/>
      <c r="R898" s="386"/>
    </row>
    <row r="899" spans="14:18" ht="15.75" customHeight="1" x14ac:dyDescent="0.25">
      <c r="N899" s="312"/>
      <c r="O899" s="312"/>
      <c r="Q899" s="386"/>
      <c r="R899" s="386"/>
    </row>
    <row r="900" spans="14:18" ht="15.75" customHeight="1" x14ac:dyDescent="0.25">
      <c r="N900" s="312"/>
      <c r="O900" s="312"/>
      <c r="Q900" s="386"/>
      <c r="R900" s="386"/>
    </row>
    <row r="901" spans="14:18" ht="15.75" customHeight="1" x14ac:dyDescent="0.25">
      <c r="N901" s="312"/>
      <c r="O901" s="312"/>
      <c r="Q901" s="386"/>
      <c r="R901" s="386"/>
    </row>
    <row r="902" spans="14:18" ht="15.75" customHeight="1" x14ac:dyDescent="0.25">
      <c r="N902" s="312"/>
      <c r="O902" s="312"/>
      <c r="Q902" s="386"/>
      <c r="R902" s="386"/>
    </row>
    <row r="903" spans="14:18" ht="15.75" customHeight="1" x14ac:dyDescent="0.25">
      <c r="N903" s="312"/>
      <c r="O903" s="312"/>
      <c r="Q903" s="386"/>
      <c r="R903" s="386"/>
    </row>
    <row r="904" spans="14:18" ht="15.75" customHeight="1" x14ac:dyDescent="0.25">
      <c r="N904" s="312"/>
      <c r="O904" s="312"/>
      <c r="Q904" s="386"/>
      <c r="R904" s="386"/>
    </row>
    <row r="905" spans="14:18" ht="15.75" customHeight="1" x14ac:dyDescent="0.25">
      <c r="N905" s="312"/>
      <c r="O905" s="312"/>
      <c r="Q905" s="386"/>
      <c r="R905" s="386"/>
    </row>
    <row r="906" spans="14:18" ht="15.75" customHeight="1" x14ac:dyDescent="0.25">
      <c r="N906" s="312"/>
      <c r="O906" s="312"/>
      <c r="Q906" s="386"/>
      <c r="R906" s="386"/>
    </row>
    <row r="907" spans="14:18" ht="15.75" customHeight="1" x14ac:dyDescent="0.25">
      <c r="N907" s="312"/>
      <c r="O907" s="312"/>
      <c r="Q907" s="386"/>
      <c r="R907" s="386"/>
    </row>
    <row r="908" spans="14:18" ht="15.75" customHeight="1" x14ac:dyDescent="0.25">
      <c r="N908" s="312"/>
      <c r="O908" s="312"/>
      <c r="Q908" s="386"/>
      <c r="R908" s="386"/>
    </row>
    <row r="909" spans="14:18" ht="15.75" customHeight="1" x14ac:dyDescent="0.25">
      <c r="N909" s="312"/>
      <c r="O909" s="312"/>
      <c r="Q909" s="386"/>
      <c r="R909" s="386"/>
    </row>
    <row r="910" spans="14:18" ht="15.75" customHeight="1" x14ac:dyDescent="0.25">
      <c r="N910" s="312"/>
      <c r="O910" s="312"/>
      <c r="Q910" s="386"/>
      <c r="R910" s="386"/>
    </row>
    <row r="911" spans="14:18" ht="15.75" customHeight="1" x14ac:dyDescent="0.25">
      <c r="N911" s="312"/>
      <c r="O911" s="312"/>
      <c r="Q911" s="386"/>
      <c r="R911" s="386"/>
    </row>
    <row r="912" spans="14:18" ht="15.75" customHeight="1" x14ac:dyDescent="0.25">
      <c r="N912" s="312"/>
      <c r="O912" s="312"/>
      <c r="Q912" s="386"/>
      <c r="R912" s="386"/>
    </row>
    <row r="913" spans="14:18" ht="15.75" customHeight="1" x14ac:dyDescent="0.25">
      <c r="N913" s="312"/>
      <c r="O913" s="312"/>
      <c r="Q913" s="386"/>
      <c r="R913" s="386"/>
    </row>
    <row r="914" spans="14:18" ht="15.75" customHeight="1" x14ac:dyDescent="0.25">
      <c r="N914" s="312"/>
      <c r="O914" s="312"/>
      <c r="Q914" s="386"/>
      <c r="R914" s="386"/>
    </row>
    <row r="915" spans="14:18" ht="15.75" customHeight="1" x14ac:dyDescent="0.25">
      <c r="N915" s="312"/>
      <c r="O915" s="312"/>
      <c r="Q915" s="386"/>
      <c r="R915" s="386"/>
    </row>
    <row r="916" spans="14:18" ht="15.75" customHeight="1" x14ac:dyDescent="0.25">
      <c r="N916" s="312"/>
      <c r="O916" s="312"/>
      <c r="Q916" s="386"/>
      <c r="R916" s="386"/>
    </row>
    <row r="917" spans="14:18" ht="15.75" customHeight="1" x14ac:dyDescent="0.25">
      <c r="N917" s="312"/>
      <c r="O917" s="312"/>
      <c r="Q917" s="386"/>
      <c r="R917" s="386"/>
    </row>
    <row r="918" spans="14:18" ht="15.75" customHeight="1" x14ac:dyDescent="0.25">
      <c r="N918" s="312"/>
      <c r="O918" s="312"/>
      <c r="Q918" s="386"/>
      <c r="R918" s="386"/>
    </row>
    <row r="919" spans="14:18" ht="15.75" customHeight="1" x14ac:dyDescent="0.25">
      <c r="N919" s="312"/>
      <c r="O919" s="312"/>
      <c r="Q919" s="386"/>
      <c r="R919" s="386"/>
    </row>
    <row r="920" spans="14:18" ht="15.75" customHeight="1" x14ac:dyDescent="0.25">
      <c r="N920" s="312"/>
      <c r="O920" s="312"/>
      <c r="Q920" s="386"/>
      <c r="R920" s="386"/>
    </row>
    <row r="921" spans="14:18" ht="15.75" customHeight="1" x14ac:dyDescent="0.25">
      <c r="N921" s="312"/>
      <c r="O921" s="312"/>
      <c r="Q921" s="386"/>
      <c r="R921" s="386"/>
    </row>
    <row r="922" spans="14:18" ht="15.75" customHeight="1" x14ac:dyDescent="0.25">
      <c r="N922" s="312"/>
      <c r="O922" s="312"/>
      <c r="Q922" s="386"/>
      <c r="R922" s="386"/>
    </row>
    <row r="923" spans="14:18" ht="15.75" customHeight="1" x14ac:dyDescent="0.25">
      <c r="N923" s="312"/>
      <c r="O923" s="312"/>
      <c r="Q923" s="386"/>
      <c r="R923" s="386"/>
    </row>
    <row r="924" spans="14:18" ht="15.75" customHeight="1" x14ac:dyDescent="0.25">
      <c r="N924" s="312"/>
      <c r="O924" s="312"/>
      <c r="Q924" s="386"/>
      <c r="R924" s="386"/>
    </row>
    <row r="925" spans="14:18" ht="15.75" customHeight="1" x14ac:dyDescent="0.25">
      <c r="N925" s="312"/>
      <c r="O925" s="312"/>
      <c r="Q925" s="386"/>
      <c r="R925" s="386"/>
    </row>
    <row r="926" spans="14:18" ht="15.75" customHeight="1" x14ac:dyDescent="0.25">
      <c r="N926" s="312"/>
      <c r="O926" s="312"/>
      <c r="Q926" s="386"/>
      <c r="R926" s="386"/>
    </row>
    <row r="927" spans="14:18" ht="15.75" customHeight="1" x14ac:dyDescent="0.25">
      <c r="N927" s="312"/>
      <c r="O927" s="312"/>
      <c r="Q927" s="386"/>
      <c r="R927" s="386"/>
    </row>
    <row r="928" spans="14:18" ht="15.75" customHeight="1" x14ac:dyDescent="0.25">
      <c r="N928" s="312"/>
      <c r="O928" s="312"/>
      <c r="Q928" s="386"/>
      <c r="R928" s="386"/>
    </row>
    <row r="929" spans="14:18" ht="15.75" customHeight="1" x14ac:dyDescent="0.25">
      <c r="N929" s="312"/>
      <c r="O929" s="312"/>
      <c r="Q929" s="386"/>
      <c r="R929" s="386"/>
    </row>
    <row r="930" spans="14:18" ht="15.75" customHeight="1" x14ac:dyDescent="0.25">
      <c r="N930" s="312"/>
      <c r="O930" s="312"/>
      <c r="Q930" s="386"/>
      <c r="R930" s="386"/>
    </row>
    <row r="931" spans="14:18" ht="15.75" customHeight="1" x14ac:dyDescent="0.25">
      <c r="N931" s="312"/>
      <c r="O931" s="312"/>
      <c r="Q931" s="386"/>
      <c r="R931" s="386"/>
    </row>
    <row r="932" spans="14:18" ht="15.75" customHeight="1" x14ac:dyDescent="0.25">
      <c r="N932" s="312"/>
      <c r="O932" s="312"/>
      <c r="Q932" s="386"/>
      <c r="R932" s="386"/>
    </row>
    <row r="933" spans="14:18" ht="15.75" customHeight="1" x14ac:dyDescent="0.25">
      <c r="N933" s="312"/>
      <c r="O933" s="312"/>
      <c r="Q933" s="386"/>
      <c r="R933" s="386"/>
    </row>
    <row r="934" spans="14:18" ht="15.75" customHeight="1" x14ac:dyDescent="0.25">
      <c r="N934" s="312"/>
      <c r="O934" s="312"/>
      <c r="Q934" s="386"/>
      <c r="R934" s="386"/>
    </row>
    <row r="935" spans="14:18" ht="15.75" customHeight="1" x14ac:dyDescent="0.25">
      <c r="N935" s="312"/>
      <c r="O935" s="312"/>
      <c r="Q935" s="386"/>
      <c r="R935" s="386"/>
    </row>
    <row r="936" spans="14:18" ht="15.75" customHeight="1" x14ac:dyDescent="0.25">
      <c r="N936" s="312"/>
      <c r="O936" s="312"/>
      <c r="Q936" s="386"/>
      <c r="R936" s="386"/>
    </row>
    <row r="937" spans="14:18" ht="15.75" customHeight="1" x14ac:dyDescent="0.25">
      <c r="N937" s="312"/>
      <c r="O937" s="312"/>
      <c r="Q937" s="386"/>
      <c r="R937" s="386"/>
    </row>
    <row r="938" spans="14:18" ht="15.75" customHeight="1" x14ac:dyDescent="0.25">
      <c r="N938" s="312"/>
      <c r="O938" s="312"/>
      <c r="Q938" s="386"/>
      <c r="R938" s="386"/>
    </row>
    <row r="939" spans="14:18" ht="15.75" customHeight="1" x14ac:dyDescent="0.25">
      <c r="N939" s="312"/>
      <c r="O939" s="312"/>
      <c r="Q939" s="386"/>
      <c r="R939" s="386"/>
    </row>
    <row r="940" spans="14:18" ht="15.75" customHeight="1" x14ac:dyDescent="0.25">
      <c r="N940" s="312"/>
      <c r="O940" s="312"/>
      <c r="Q940" s="386"/>
      <c r="R940" s="386"/>
    </row>
    <row r="941" spans="14:18" ht="15.75" customHeight="1" x14ac:dyDescent="0.25">
      <c r="N941" s="312"/>
      <c r="O941" s="312"/>
      <c r="Q941" s="386"/>
      <c r="R941" s="386"/>
    </row>
    <row r="942" spans="14:18" ht="15.75" customHeight="1" x14ac:dyDescent="0.25">
      <c r="N942" s="312"/>
      <c r="O942" s="312"/>
      <c r="Q942" s="386"/>
      <c r="R942" s="386"/>
    </row>
    <row r="943" spans="14:18" ht="15.75" customHeight="1" x14ac:dyDescent="0.25">
      <c r="N943" s="312"/>
      <c r="O943" s="312"/>
      <c r="Q943" s="386"/>
      <c r="R943" s="386"/>
    </row>
    <row r="944" spans="14:18" ht="15.75" customHeight="1" x14ac:dyDescent="0.25">
      <c r="N944" s="312"/>
      <c r="O944" s="312"/>
      <c r="Q944" s="386"/>
      <c r="R944" s="386"/>
    </row>
    <row r="945" spans="14:18" ht="15.75" customHeight="1" x14ac:dyDescent="0.25">
      <c r="N945" s="312"/>
      <c r="O945" s="312"/>
      <c r="Q945" s="386"/>
      <c r="R945" s="386"/>
    </row>
    <row r="946" spans="14:18" ht="15.75" customHeight="1" x14ac:dyDescent="0.25">
      <c r="N946" s="312"/>
      <c r="O946" s="312"/>
      <c r="Q946" s="386"/>
      <c r="R946" s="386"/>
    </row>
    <row r="947" spans="14:18" ht="15.75" customHeight="1" x14ac:dyDescent="0.25">
      <c r="N947" s="312"/>
      <c r="O947" s="312"/>
      <c r="Q947" s="386"/>
      <c r="R947" s="386"/>
    </row>
    <row r="948" spans="14:18" ht="15.75" customHeight="1" x14ac:dyDescent="0.25">
      <c r="N948" s="312"/>
      <c r="O948" s="312"/>
      <c r="Q948" s="386"/>
      <c r="R948" s="386"/>
    </row>
    <row r="949" spans="14:18" ht="15.75" customHeight="1" x14ac:dyDescent="0.25">
      <c r="N949" s="312"/>
      <c r="O949" s="312"/>
      <c r="Q949" s="386"/>
      <c r="R949" s="386"/>
    </row>
    <row r="950" spans="14:18" ht="15.75" customHeight="1" x14ac:dyDescent="0.25">
      <c r="N950" s="312"/>
      <c r="O950" s="312"/>
      <c r="Q950" s="386"/>
      <c r="R950" s="386"/>
    </row>
    <row r="951" spans="14:18" ht="15.75" customHeight="1" x14ac:dyDescent="0.25">
      <c r="N951" s="312"/>
      <c r="O951" s="312"/>
      <c r="Q951" s="386"/>
      <c r="R951" s="386"/>
    </row>
    <row r="952" spans="14:18" ht="15.75" customHeight="1" x14ac:dyDescent="0.25">
      <c r="N952" s="312"/>
      <c r="O952" s="312"/>
      <c r="Q952" s="386"/>
      <c r="R952" s="386"/>
    </row>
    <row r="953" spans="14:18" ht="15.75" customHeight="1" x14ac:dyDescent="0.25">
      <c r="N953" s="312"/>
      <c r="O953" s="312"/>
      <c r="Q953" s="386"/>
      <c r="R953" s="386"/>
    </row>
    <row r="954" spans="14:18" ht="15.75" customHeight="1" x14ac:dyDescent="0.25">
      <c r="N954" s="312"/>
      <c r="O954" s="312"/>
      <c r="Q954" s="386"/>
      <c r="R954" s="386"/>
    </row>
    <row r="955" spans="14:18" ht="15.75" customHeight="1" x14ac:dyDescent="0.25">
      <c r="N955" s="312"/>
      <c r="O955" s="312"/>
      <c r="Q955" s="386"/>
      <c r="R955" s="386"/>
    </row>
    <row r="956" spans="14:18" ht="15.75" customHeight="1" x14ac:dyDescent="0.25">
      <c r="N956" s="312"/>
      <c r="O956" s="312"/>
      <c r="Q956" s="386"/>
      <c r="R956" s="386"/>
    </row>
    <row r="957" spans="14:18" ht="15.75" customHeight="1" x14ac:dyDescent="0.25">
      <c r="N957" s="312"/>
      <c r="O957" s="312"/>
      <c r="Q957" s="386"/>
      <c r="R957" s="386"/>
    </row>
    <row r="958" spans="14:18" ht="15.75" customHeight="1" x14ac:dyDescent="0.25">
      <c r="N958" s="312"/>
      <c r="O958" s="312"/>
      <c r="Q958" s="386"/>
      <c r="R958" s="386"/>
    </row>
    <row r="959" spans="14:18" ht="15.75" customHeight="1" x14ac:dyDescent="0.25">
      <c r="N959" s="312"/>
      <c r="O959" s="312"/>
      <c r="Q959" s="386"/>
      <c r="R959" s="386"/>
    </row>
    <row r="960" spans="14:18" ht="15.75" customHeight="1" x14ac:dyDescent="0.25">
      <c r="N960" s="312"/>
      <c r="O960" s="312"/>
      <c r="Q960" s="386"/>
      <c r="R960" s="386"/>
    </row>
    <row r="961" spans="14:18" ht="15.75" customHeight="1" x14ac:dyDescent="0.25">
      <c r="N961" s="312"/>
      <c r="O961" s="312"/>
      <c r="Q961" s="386"/>
      <c r="R961" s="386"/>
    </row>
    <row r="962" spans="14:18" ht="15.75" customHeight="1" x14ac:dyDescent="0.25">
      <c r="N962" s="312"/>
      <c r="O962" s="312"/>
      <c r="Q962" s="386"/>
      <c r="R962" s="386"/>
    </row>
    <row r="963" spans="14:18" ht="15.75" customHeight="1" x14ac:dyDescent="0.25">
      <c r="N963" s="312"/>
      <c r="O963" s="312"/>
      <c r="Q963" s="386"/>
      <c r="R963" s="386"/>
    </row>
    <row r="964" spans="14:18" ht="15.75" customHeight="1" x14ac:dyDescent="0.25">
      <c r="N964" s="312"/>
      <c r="O964" s="312"/>
      <c r="Q964" s="386"/>
      <c r="R964" s="386"/>
    </row>
    <row r="965" spans="14:18" ht="15.75" customHeight="1" x14ac:dyDescent="0.25">
      <c r="N965" s="312"/>
      <c r="O965" s="312"/>
      <c r="Q965" s="386"/>
      <c r="R965" s="386"/>
    </row>
    <row r="966" spans="14:18" ht="15.75" customHeight="1" x14ac:dyDescent="0.25">
      <c r="N966" s="312"/>
      <c r="O966" s="312"/>
      <c r="Q966" s="386"/>
      <c r="R966" s="386"/>
    </row>
    <row r="967" spans="14:18" ht="15.75" customHeight="1" x14ac:dyDescent="0.25">
      <c r="N967" s="312"/>
      <c r="O967" s="312"/>
      <c r="Q967" s="386"/>
      <c r="R967" s="386"/>
    </row>
    <row r="968" spans="14:18" ht="15.75" customHeight="1" x14ac:dyDescent="0.25">
      <c r="N968" s="312"/>
      <c r="O968" s="312"/>
      <c r="Q968" s="386"/>
      <c r="R968" s="386"/>
    </row>
    <row r="969" spans="14:18" ht="15.75" customHeight="1" x14ac:dyDescent="0.25">
      <c r="N969" s="312"/>
      <c r="O969" s="312"/>
      <c r="Q969" s="386"/>
      <c r="R969" s="386"/>
    </row>
    <row r="970" spans="14:18" ht="15.75" customHeight="1" x14ac:dyDescent="0.25">
      <c r="N970" s="312"/>
      <c r="O970" s="312"/>
      <c r="Q970" s="386"/>
      <c r="R970" s="386"/>
    </row>
    <row r="971" spans="14:18" ht="15.75" customHeight="1" x14ac:dyDescent="0.25">
      <c r="N971" s="312"/>
      <c r="O971" s="312"/>
      <c r="Q971" s="386"/>
      <c r="R971" s="386"/>
    </row>
    <row r="972" spans="14:18" ht="15.75" customHeight="1" x14ac:dyDescent="0.25">
      <c r="N972" s="312"/>
      <c r="O972" s="312"/>
      <c r="Q972" s="386"/>
      <c r="R972" s="386"/>
    </row>
    <row r="973" spans="14:18" ht="15.75" customHeight="1" x14ac:dyDescent="0.25">
      <c r="N973" s="312"/>
      <c r="O973" s="312"/>
      <c r="Q973" s="386"/>
      <c r="R973" s="386"/>
    </row>
    <row r="974" spans="14:18" ht="15.75" customHeight="1" x14ac:dyDescent="0.25">
      <c r="N974" s="312"/>
      <c r="O974" s="312"/>
      <c r="Q974" s="386"/>
      <c r="R974" s="386"/>
    </row>
    <row r="975" spans="14:18" ht="15.75" customHeight="1" x14ac:dyDescent="0.25">
      <c r="N975" s="312"/>
      <c r="O975" s="312"/>
      <c r="Q975" s="386"/>
      <c r="R975" s="386"/>
    </row>
    <row r="976" spans="14:18" ht="15.75" customHeight="1" x14ac:dyDescent="0.25">
      <c r="N976" s="312"/>
      <c r="O976" s="312"/>
      <c r="Q976" s="386"/>
      <c r="R976" s="386"/>
    </row>
    <row r="977" spans="14:18" ht="15.75" customHeight="1" x14ac:dyDescent="0.25">
      <c r="N977" s="312"/>
      <c r="O977" s="312"/>
      <c r="Q977" s="386"/>
      <c r="R977" s="386"/>
    </row>
    <row r="978" spans="14:18" ht="15.75" customHeight="1" x14ac:dyDescent="0.25">
      <c r="N978" s="312"/>
      <c r="O978" s="312"/>
      <c r="Q978" s="386"/>
      <c r="R978" s="386"/>
    </row>
    <row r="979" spans="14:18" ht="15.75" customHeight="1" x14ac:dyDescent="0.25">
      <c r="N979" s="312"/>
      <c r="O979" s="312"/>
      <c r="Q979" s="386"/>
      <c r="R979" s="386"/>
    </row>
    <row r="980" spans="14:18" ht="15.75" customHeight="1" x14ac:dyDescent="0.25">
      <c r="N980" s="312"/>
      <c r="O980" s="312"/>
      <c r="Q980" s="386"/>
      <c r="R980" s="386"/>
    </row>
    <row r="981" spans="14:18" ht="15.75" customHeight="1" x14ac:dyDescent="0.25">
      <c r="N981" s="312"/>
      <c r="O981" s="312"/>
      <c r="Q981" s="386"/>
      <c r="R981" s="386"/>
    </row>
    <row r="982" spans="14:18" ht="15.75" customHeight="1" x14ac:dyDescent="0.25">
      <c r="N982" s="312"/>
      <c r="O982" s="312"/>
      <c r="Q982" s="386"/>
      <c r="R982" s="386"/>
    </row>
    <row r="983" spans="14:18" ht="15.75" customHeight="1" x14ac:dyDescent="0.25">
      <c r="N983" s="312"/>
      <c r="O983" s="312"/>
      <c r="Q983" s="386"/>
      <c r="R983" s="386"/>
    </row>
    <row r="984" spans="14:18" ht="15.75" customHeight="1" x14ac:dyDescent="0.25">
      <c r="N984" s="312"/>
      <c r="O984" s="312"/>
      <c r="Q984" s="386"/>
      <c r="R984" s="386"/>
    </row>
    <row r="985" spans="14:18" ht="15.75" customHeight="1" x14ac:dyDescent="0.25">
      <c r="N985" s="312"/>
      <c r="O985" s="312"/>
      <c r="Q985" s="386"/>
      <c r="R985" s="386"/>
    </row>
    <row r="986" spans="14:18" ht="15.75" customHeight="1" x14ac:dyDescent="0.25">
      <c r="N986" s="312"/>
      <c r="O986" s="312"/>
      <c r="Q986" s="386"/>
      <c r="R986" s="386"/>
    </row>
    <row r="987" spans="14:18" ht="15.75" customHeight="1" x14ac:dyDescent="0.25">
      <c r="N987" s="312"/>
      <c r="O987" s="312"/>
      <c r="Q987" s="386"/>
      <c r="R987" s="386"/>
    </row>
    <row r="988" spans="14:18" ht="15.75" customHeight="1" x14ac:dyDescent="0.25">
      <c r="N988" s="312"/>
      <c r="O988" s="312"/>
      <c r="Q988" s="386"/>
      <c r="R988" s="386"/>
    </row>
  </sheetData>
  <mergeCells count="8">
    <mergeCell ref="F3:F4"/>
    <mergeCell ref="G3:G4"/>
    <mergeCell ref="I3:I4"/>
    <mergeCell ref="A3:A4"/>
    <mergeCell ref="B3:B4"/>
    <mergeCell ref="C3:C4"/>
    <mergeCell ref="D3:D4"/>
    <mergeCell ref="E3:E4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625" defaultRowHeight="15" customHeight="1" x14ac:dyDescent="0.2"/>
  <cols>
    <col min="1" max="26" width="9.375" customWidth="1"/>
  </cols>
  <sheetData>
    <row r="1" spans="1:20" x14ac:dyDescent="0.25">
      <c r="A1" s="379"/>
      <c r="B1" s="562" t="s">
        <v>212</v>
      </c>
      <c r="C1" s="563"/>
      <c r="D1" s="563"/>
      <c r="E1" s="563"/>
      <c r="F1" s="563"/>
      <c r="G1" s="563"/>
      <c r="H1" s="564"/>
      <c r="I1" s="379"/>
      <c r="K1" s="442"/>
      <c r="L1" s="443"/>
      <c r="M1" s="565" t="s">
        <v>213</v>
      </c>
      <c r="N1" s="549"/>
      <c r="O1" s="549"/>
      <c r="P1" s="550"/>
      <c r="Q1" s="565" t="s">
        <v>214</v>
      </c>
      <c r="R1" s="549"/>
      <c r="S1" s="550"/>
      <c r="T1" s="379"/>
    </row>
    <row r="2" spans="1:20" ht="30" x14ac:dyDescent="0.25">
      <c r="A2" s="444" t="s">
        <v>215</v>
      </c>
      <c r="B2" s="445" t="s">
        <v>37</v>
      </c>
      <c r="C2" s="445" t="s">
        <v>120</v>
      </c>
      <c r="D2" s="445" t="s">
        <v>39</v>
      </c>
      <c r="E2" s="445" t="s">
        <v>38</v>
      </c>
      <c r="F2" s="445" t="s">
        <v>30</v>
      </c>
      <c r="G2" s="445" t="s">
        <v>41</v>
      </c>
      <c r="H2" s="445" t="s">
        <v>40</v>
      </c>
      <c r="I2" s="379"/>
      <c r="K2" s="446" t="s">
        <v>216</v>
      </c>
      <c r="L2" s="447" t="s">
        <v>123</v>
      </c>
      <c r="M2" s="448" t="s">
        <v>37</v>
      </c>
      <c r="N2" s="448" t="s">
        <v>120</v>
      </c>
      <c r="O2" s="448" t="s">
        <v>30</v>
      </c>
      <c r="P2" s="448" t="s">
        <v>38</v>
      </c>
      <c r="Q2" s="448" t="s">
        <v>39</v>
      </c>
      <c r="R2" s="448" t="s">
        <v>40</v>
      </c>
      <c r="S2" s="448" t="s">
        <v>41</v>
      </c>
      <c r="T2" s="379"/>
    </row>
    <row r="3" spans="1:20" x14ac:dyDescent="0.25">
      <c r="A3" s="444" t="s">
        <v>217</v>
      </c>
      <c r="B3" s="449">
        <v>6.2</v>
      </c>
      <c r="C3" s="449">
        <v>0.9</v>
      </c>
      <c r="D3" s="449">
        <v>0.26</v>
      </c>
      <c r="E3" s="449">
        <v>0.18</v>
      </c>
      <c r="F3" s="449">
        <v>477</v>
      </c>
      <c r="G3" s="449">
        <v>449</v>
      </c>
      <c r="H3" s="449">
        <v>105</v>
      </c>
      <c r="I3" s="379"/>
      <c r="K3" s="446" t="s">
        <v>217</v>
      </c>
      <c r="L3" s="450">
        <v>1</v>
      </c>
      <c r="M3" s="451">
        <v>2.4</v>
      </c>
      <c r="N3" s="451">
        <v>0.39</v>
      </c>
      <c r="O3" s="451">
        <v>171</v>
      </c>
      <c r="P3" s="451">
        <v>89</v>
      </c>
      <c r="Q3" s="451">
        <v>63</v>
      </c>
      <c r="R3" s="451" t="s">
        <v>218</v>
      </c>
      <c r="S3" s="451" t="s">
        <v>219</v>
      </c>
      <c r="T3" s="379"/>
    </row>
    <row r="4" spans="1:20" x14ac:dyDescent="0.25">
      <c r="A4" s="444" t="s">
        <v>217</v>
      </c>
      <c r="B4" s="449">
        <v>6.2</v>
      </c>
      <c r="C4" s="449">
        <v>0.91</v>
      </c>
      <c r="D4" s="449">
        <v>0.24</v>
      </c>
      <c r="E4" s="449">
        <v>0.18</v>
      </c>
      <c r="F4" s="449">
        <v>477</v>
      </c>
      <c r="G4" s="449">
        <v>416</v>
      </c>
      <c r="H4" s="449">
        <v>98</v>
      </c>
      <c r="I4" s="379"/>
      <c r="K4" s="446" t="s">
        <v>217</v>
      </c>
      <c r="L4" s="450">
        <v>1</v>
      </c>
      <c r="M4" s="451">
        <v>2.5</v>
      </c>
      <c r="N4" s="451">
        <v>0.41</v>
      </c>
      <c r="O4" s="451">
        <v>208</v>
      </c>
      <c r="P4" s="451">
        <v>94</v>
      </c>
      <c r="Q4" s="451">
        <v>61</v>
      </c>
      <c r="R4" s="451">
        <v>24</v>
      </c>
      <c r="S4" s="451" t="s">
        <v>218</v>
      </c>
      <c r="T4" s="379"/>
    </row>
    <row r="5" spans="1:20" x14ac:dyDescent="0.25">
      <c r="A5" s="444" t="s">
        <v>217</v>
      </c>
      <c r="B5" s="449">
        <v>6.28</v>
      </c>
      <c r="C5" s="449">
        <v>0.92</v>
      </c>
      <c r="D5" s="449">
        <v>0.26</v>
      </c>
      <c r="E5" s="449">
        <v>0.18</v>
      </c>
      <c r="F5" s="449">
        <v>473</v>
      </c>
      <c r="G5" s="449">
        <v>443</v>
      </c>
      <c r="H5" s="449">
        <v>89</v>
      </c>
      <c r="I5" s="379"/>
      <c r="K5" s="446" t="s">
        <v>217</v>
      </c>
      <c r="L5" s="450">
        <v>1</v>
      </c>
      <c r="M5" s="451">
        <v>2.6</v>
      </c>
      <c r="N5" s="451">
        <v>0.4</v>
      </c>
      <c r="O5" s="451">
        <v>94</v>
      </c>
      <c r="P5" s="451">
        <v>58</v>
      </c>
      <c r="Q5" s="451">
        <v>51</v>
      </c>
      <c r="R5" s="451">
        <v>38</v>
      </c>
      <c r="S5" s="451" t="s">
        <v>219</v>
      </c>
      <c r="T5" s="379"/>
    </row>
    <row r="6" spans="1:20" x14ac:dyDescent="0.25">
      <c r="A6" s="444" t="s">
        <v>217</v>
      </c>
      <c r="B6" s="449">
        <v>6.1</v>
      </c>
      <c r="C6" s="449">
        <v>0.98</v>
      </c>
      <c r="D6" s="449">
        <v>0.25</v>
      </c>
      <c r="E6" s="449">
        <v>0.18</v>
      </c>
      <c r="F6" s="449">
        <v>482</v>
      </c>
      <c r="G6" s="449">
        <v>434</v>
      </c>
      <c r="H6" s="449">
        <v>101</v>
      </c>
      <c r="I6" s="379"/>
      <c r="K6" s="446" t="s">
        <v>220</v>
      </c>
      <c r="L6" s="450">
        <v>1</v>
      </c>
      <c r="M6" s="451">
        <v>2.6</v>
      </c>
      <c r="N6" s="451">
        <v>0.43</v>
      </c>
      <c r="O6" s="451">
        <v>206</v>
      </c>
      <c r="P6" s="451">
        <v>99</v>
      </c>
      <c r="Q6" s="451">
        <v>50</v>
      </c>
      <c r="R6" s="451">
        <v>30</v>
      </c>
      <c r="S6" s="451" t="s">
        <v>218</v>
      </c>
      <c r="T6" s="379"/>
    </row>
    <row r="7" spans="1:20" x14ac:dyDescent="0.25">
      <c r="A7" s="444" t="s">
        <v>217</v>
      </c>
      <c r="B7" s="449">
        <v>5.0999999999999996</v>
      </c>
      <c r="C7" s="449">
        <v>0.62</v>
      </c>
      <c r="D7" s="449">
        <v>0.21</v>
      </c>
      <c r="E7" s="449">
        <v>0.14000000000000001</v>
      </c>
      <c r="F7" s="449">
        <v>855</v>
      </c>
      <c r="G7" s="449">
        <v>392</v>
      </c>
      <c r="H7" s="449">
        <v>80</v>
      </c>
      <c r="I7" s="379"/>
      <c r="K7" s="446" t="s">
        <v>220</v>
      </c>
      <c r="L7" s="450">
        <v>1</v>
      </c>
      <c r="M7" s="451">
        <v>2.6</v>
      </c>
      <c r="N7" s="451">
        <v>0.41</v>
      </c>
      <c r="O7" s="451">
        <v>203</v>
      </c>
      <c r="P7" s="451">
        <v>97</v>
      </c>
      <c r="Q7" s="451">
        <v>56</v>
      </c>
      <c r="R7" s="451">
        <v>25</v>
      </c>
      <c r="S7" s="451" t="s">
        <v>218</v>
      </c>
      <c r="T7" s="379"/>
    </row>
    <row r="8" spans="1:20" x14ac:dyDescent="0.25">
      <c r="A8" s="444" t="s">
        <v>217</v>
      </c>
      <c r="B8" s="449">
        <v>6.7</v>
      </c>
      <c r="C8" s="449">
        <v>0.97</v>
      </c>
      <c r="D8" s="449">
        <v>0.27</v>
      </c>
      <c r="E8" s="449">
        <v>0.2</v>
      </c>
      <c r="F8" s="449">
        <v>518</v>
      </c>
      <c r="G8" s="449">
        <v>515</v>
      </c>
      <c r="H8" s="449">
        <v>101</v>
      </c>
      <c r="I8" s="379"/>
      <c r="K8" s="446" t="s">
        <v>220</v>
      </c>
      <c r="L8" s="450">
        <v>1</v>
      </c>
      <c r="M8" s="451">
        <v>2.6</v>
      </c>
      <c r="N8" s="451">
        <v>0.43</v>
      </c>
      <c r="O8" s="451">
        <v>184</v>
      </c>
      <c r="P8" s="451">
        <v>100</v>
      </c>
      <c r="Q8" s="451">
        <v>42</v>
      </c>
      <c r="R8" s="451">
        <v>32</v>
      </c>
      <c r="S8" s="451">
        <v>29</v>
      </c>
      <c r="T8" s="379"/>
    </row>
    <row r="9" spans="1:20" x14ac:dyDescent="0.25">
      <c r="A9" s="444" t="s">
        <v>217</v>
      </c>
      <c r="B9" s="449">
        <v>6</v>
      </c>
      <c r="C9" s="449">
        <v>0.89</v>
      </c>
      <c r="D9" s="449">
        <v>0.25</v>
      </c>
      <c r="E9" s="449">
        <v>0.17</v>
      </c>
      <c r="F9" s="449">
        <v>458</v>
      </c>
      <c r="G9" s="449">
        <v>428</v>
      </c>
      <c r="H9" s="449">
        <v>78</v>
      </c>
      <c r="I9" s="379"/>
      <c r="K9" s="446" t="s">
        <v>217</v>
      </c>
      <c r="L9" s="450">
        <v>2</v>
      </c>
      <c r="M9" s="451">
        <v>2.4</v>
      </c>
      <c r="N9" s="451">
        <v>0.39</v>
      </c>
      <c r="O9" s="451">
        <v>342</v>
      </c>
      <c r="P9" s="451">
        <v>94</v>
      </c>
      <c r="Q9" s="451">
        <v>57</v>
      </c>
      <c r="R9" s="451">
        <v>32</v>
      </c>
      <c r="S9" s="451" t="s">
        <v>218</v>
      </c>
      <c r="T9" s="379"/>
    </row>
    <row r="10" spans="1:20" x14ac:dyDescent="0.25">
      <c r="A10" s="444" t="s">
        <v>220</v>
      </c>
      <c r="B10" s="449">
        <v>6.3</v>
      </c>
      <c r="C10" s="449">
        <v>0.82</v>
      </c>
      <c r="D10" s="449">
        <v>0.24</v>
      </c>
      <c r="E10" s="449">
        <v>0.19</v>
      </c>
      <c r="F10" s="449">
        <v>502</v>
      </c>
      <c r="G10" s="449">
        <v>461</v>
      </c>
      <c r="H10" s="449">
        <v>92</v>
      </c>
      <c r="I10" s="379"/>
      <c r="K10" s="446" t="s">
        <v>217</v>
      </c>
      <c r="L10" s="450">
        <v>2</v>
      </c>
      <c r="M10" s="451">
        <v>2.5</v>
      </c>
      <c r="N10" s="451">
        <v>0.39</v>
      </c>
      <c r="O10" s="451">
        <v>248</v>
      </c>
      <c r="P10" s="451">
        <v>91</v>
      </c>
      <c r="Q10" s="451">
        <v>68</v>
      </c>
      <c r="R10" s="451">
        <v>30</v>
      </c>
      <c r="S10" s="451" t="s">
        <v>218</v>
      </c>
      <c r="T10" s="379"/>
    </row>
    <row r="11" spans="1:20" x14ac:dyDescent="0.25">
      <c r="A11" s="444" t="s">
        <v>220</v>
      </c>
      <c r="B11" s="449">
        <v>6.2</v>
      </c>
      <c r="C11" s="449">
        <v>0.95</v>
      </c>
      <c r="D11" s="449">
        <v>0.24</v>
      </c>
      <c r="E11" s="449">
        <v>0.18</v>
      </c>
      <c r="F11" s="449">
        <v>468</v>
      </c>
      <c r="G11" s="449">
        <v>451</v>
      </c>
      <c r="H11" s="449">
        <v>87</v>
      </c>
      <c r="I11" s="379"/>
      <c r="K11" s="446" t="s">
        <v>217</v>
      </c>
      <c r="L11" s="450">
        <v>2</v>
      </c>
      <c r="M11" s="451">
        <v>2.2999999999999998</v>
      </c>
      <c r="N11" s="451">
        <v>0.31</v>
      </c>
      <c r="O11" s="451">
        <v>306</v>
      </c>
      <c r="P11" s="451">
        <v>91</v>
      </c>
      <c r="Q11" s="451" t="s">
        <v>218</v>
      </c>
      <c r="R11" s="451">
        <v>25</v>
      </c>
      <c r="S11" s="451" t="s">
        <v>221</v>
      </c>
      <c r="T11" s="379"/>
    </row>
    <row r="12" spans="1:20" x14ac:dyDescent="0.25">
      <c r="A12" s="444" t="s">
        <v>220</v>
      </c>
      <c r="B12" s="449">
        <v>6.2</v>
      </c>
      <c r="C12" s="449">
        <v>0.93</v>
      </c>
      <c r="D12" s="449">
        <v>0.25</v>
      </c>
      <c r="E12" s="449">
        <v>0.18</v>
      </c>
      <c r="F12" s="449">
        <v>476</v>
      </c>
      <c r="G12" s="449">
        <v>439</v>
      </c>
      <c r="H12" s="449">
        <v>96</v>
      </c>
      <c r="I12" s="379"/>
      <c r="K12" s="446" t="s">
        <v>220</v>
      </c>
      <c r="L12" s="450">
        <v>2</v>
      </c>
      <c r="M12" s="451">
        <v>2.5</v>
      </c>
      <c r="N12" s="451">
        <v>0.41</v>
      </c>
      <c r="O12" s="451">
        <v>278</v>
      </c>
      <c r="P12" s="451">
        <v>93</v>
      </c>
      <c r="Q12" s="451">
        <v>57</v>
      </c>
      <c r="R12" s="451">
        <v>32</v>
      </c>
      <c r="S12" s="451" t="s">
        <v>218</v>
      </c>
      <c r="T12" s="379"/>
    </row>
    <row r="13" spans="1:20" x14ac:dyDescent="0.25">
      <c r="A13" s="379"/>
      <c r="B13" s="566" t="s">
        <v>213</v>
      </c>
      <c r="C13" s="563"/>
      <c r="D13" s="563"/>
      <c r="E13" s="564"/>
      <c r="F13" s="566" t="s">
        <v>214</v>
      </c>
      <c r="G13" s="563"/>
      <c r="H13" s="564"/>
      <c r="I13" s="379"/>
      <c r="K13" s="446" t="s">
        <v>220</v>
      </c>
      <c r="L13" s="450">
        <v>2</v>
      </c>
      <c r="M13" s="451">
        <v>2.6</v>
      </c>
      <c r="N13" s="451">
        <v>0.41</v>
      </c>
      <c r="O13" s="451">
        <v>269</v>
      </c>
      <c r="P13" s="451">
        <v>97</v>
      </c>
      <c r="Q13" s="451" t="s">
        <v>221</v>
      </c>
      <c r="R13" s="451">
        <v>29</v>
      </c>
      <c r="S13" s="451" t="s">
        <v>218</v>
      </c>
      <c r="T13" s="379"/>
    </row>
    <row r="14" spans="1:20" x14ac:dyDescent="0.25">
      <c r="A14" s="379"/>
      <c r="B14" s="445" t="s">
        <v>37</v>
      </c>
      <c r="C14" s="445" t="s">
        <v>120</v>
      </c>
      <c r="D14" s="445" t="s">
        <v>39</v>
      </c>
      <c r="E14" s="445" t="s">
        <v>38</v>
      </c>
      <c r="F14" s="445" t="s">
        <v>30</v>
      </c>
      <c r="G14" s="445" t="s">
        <v>41</v>
      </c>
      <c r="H14" s="445" t="s">
        <v>40</v>
      </c>
      <c r="I14" s="379"/>
      <c r="K14" s="446" t="s">
        <v>220</v>
      </c>
      <c r="L14" s="450">
        <v>2</v>
      </c>
      <c r="M14" s="451">
        <v>2.6</v>
      </c>
      <c r="N14" s="451">
        <v>0.42</v>
      </c>
      <c r="O14" s="451">
        <v>287</v>
      </c>
      <c r="P14" s="451">
        <v>97</v>
      </c>
      <c r="Q14" s="451">
        <v>46</v>
      </c>
      <c r="R14" s="451">
        <v>22</v>
      </c>
      <c r="S14" s="451" t="s">
        <v>218</v>
      </c>
      <c r="T14" s="379"/>
    </row>
    <row r="15" spans="1:20" x14ac:dyDescent="0.25">
      <c r="A15" s="379" t="s">
        <v>74</v>
      </c>
      <c r="B15" s="383">
        <v>6.08</v>
      </c>
      <c r="C15" s="383">
        <v>0.88</v>
      </c>
      <c r="D15" s="383">
        <v>0.25</v>
      </c>
      <c r="E15" s="383">
        <v>0.18</v>
      </c>
      <c r="F15" s="383">
        <v>534.29</v>
      </c>
      <c r="G15" s="383">
        <v>439.57</v>
      </c>
      <c r="H15" s="383">
        <v>93.1</v>
      </c>
      <c r="I15" s="379"/>
      <c r="K15" s="446" t="s">
        <v>217</v>
      </c>
      <c r="L15" s="450">
        <v>0</v>
      </c>
      <c r="M15" s="451">
        <v>2.6</v>
      </c>
      <c r="N15" s="451">
        <v>0.41</v>
      </c>
      <c r="O15" s="451">
        <v>99</v>
      </c>
      <c r="P15" s="451">
        <v>53</v>
      </c>
      <c r="Q15" s="451">
        <v>48</v>
      </c>
      <c r="R15" s="451">
        <v>29</v>
      </c>
      <c r="S15" s="451" t="s">
        <v>218</v>
      </c>
      <c r="T15" s="379"/>
    </row>
    <row r="16" spans="1:20" x14ac:dyDescent="0.25">
      <c r="A16" s="379" t="s">
        <v>75</v>
      </c>
      <c r="B16" s="383">
        <v>6.21</v>
      </c>
      <c r="C16" s="383">
        <v>0.9</v>
      </c>
      <c r="D16" s="383">
        <v>0.24</v>
      </c>
      <c r="E16" s="383">
        <v>0.18</v>
      </c>
      <c r="F16" s="383">
        <v>482</v>
      </c>
      <c r="G16" s="383">
        <v>450.33</v>
      </c>
      <c r="H16" s="383">
        <v>91.63</v>
      </c>
      <c r="I16" s="379"/>
      <c r="K16" s="446" t="s">
        <v>217</v>
      </c>
      <c r="L16" s="450">
        <v>0</v>
      </c>
      <c r="M16" s="451">
        <v>2.7</v>
      </c>
      <c r="N16" s="451">
        <v>0.45</v>
      </c>
      <c r="O16" s="451">
        <v>101</v>
      </c>
      <c r="P16" s="451">
        <v>45</v>
      </c>
      <c r="Q16" s="451">
        <v>42</v>
      </c>
      <c r="R16" s="451">
        <v>27</v>
      </c>
      <c r="S16" s="451" t="s">
        <v>218</v>
      </c>
      <c r="T16" s="379"/>
    </row>
    <row r="17" spans="1:20" x14ac:dyDescent="0.25">
      <c r="K17" s="446" t="s">
        <v>220</v>
      </c>
      <c r="L17" s="450">
        <v>0</v>
      </c>
      <c r="M17" s="451">
        <v>2.6</v>
      </c>
      <c r="N17" s="451">
        <v>0.41</v>
      </c>
      <c r="O17" s="451">
        <v>103</v>
      </c>
      <c r="P17" s="451">
        <v>50</v>
      </c>
      <c r="Q17" s="451">
        <v>44</v>
      </c>
      <c r="R17" s="451">
        <v>37</v>
      </c>
      <c r="S17" s="451" t="s">
        <v>218</v>
      </c>
      <c r="T17" s="379"/>
    </row>
    <row r="19" spans="1:20" x14ac:dyDescent="0.25">
      <c r="A19" s="442"/>
      <c r="B19" s="443"/>
      <c r="D19" s="448" t="s">
        <v>222</v>
      </c>
      <c r="E19" s="3">
        <v>1</v>
      </c>
      <c r="F19" s="3">
        <v>1</v>
      </c>
      <c r="G19" s="3">
        <v>2</v>
      </c>
      <c r="H19" s="3">
        <v>2</v>
      </c>
      <c r="I19" s="3">
        <v>0</v>
      </c>
      <c r="J19" s="3">
        <v>0</v>
      </c>
    </row>
    <row r="20" spans="1:20" x14ac:dyDescent="0.25">
      <c r="A20" s="446" t="s">
        <v>216</v>
      </c>
      <c r="B20" s="447" t="s">
        <v>123</v>
      </c>
      <c r="C20" s="448" t="s">
        <v>223</v>
      </c>
      <c r="D20" s="451" t="s">
        <v>222</v>
      </c>
      <c r="E20" s="3" t="s">
        <v>217</v>
      </c>
      <c r="F20" s="3" t="s">
        <v>220</v>
      </c>
      <c r="G20" s="3" t="s">
        <v>217</v>
      </c>
      <c r="H20" s="3" t="s">
        <v>220</v>
      </c>
      <c r="I20" s="3" t="s">
        <v>217</v>
      </c>
      <c r="J20" s="3" t="s">
        <v>220</v>
      </c>
    </row>
    <row r="21" spans="1:20" ht="15.75" customHeight="1" x14ac:dyDescent="0.25">
      <c r="A21" s="446" t="s">
        <v>217</v>
      </c>
      <c r="B21" s="450">
        <v>1</v>
      </c>
      <c r="C21" s="451">
        <v>0.39</v>
      </c>
      <c r="D21" s="451">
        <v>171</v>
      </c>
      <c r="E21" s="3">
        <f t="shared" ref="E21:E23" si="0">C21*1000</f>
        <v>390</v>
      </c>
      <c r="F21" s="3">
        <f t="shared" ref="F21:F23" si="1">C24*1000</f>
        <v>430</v>
      </c>
      <c r="G21" s="3">
        <f t="shared" ref="G21:G23" si="2">C27*1000</f>
        <v>390</v>
      </c>
      <c r="H21" s="3">
        <f t="shared" ref="H21:H23" si="3">C30*1000</f>
        <v>410</v>
      </c>
      <c r="I21" s="3">
        <f t="shared" ref="I21:I22" si="4">C33*1000</f>
        <v>410</v>
      </c>
      <c r="J21" s="3">
        <f>C35*1000</f>
        <v>410</v>
      </c>
    </row>
    <row r="22" spans="1:20" ht="15.75" customHeight="1" x14ac:dyDescent="0.25">
      <c r="A22" s="446" t="s">
        <v>217</v>
      </c>
      <c r="B22" s="450">
        <v>1</v>
      </c>
      <c r="C22" s="451">
        <v>0.41</v>
      </c>
      <c r="D22" s="451">
        <v>208</v>
      </c>
      <c r="E22" s="3">
        <f t="shared" si="0"/>
        <v>410</v>
      </c>
      <c r="F22" s="3">
        <f t="shared" si="1"/>
        <v>410</v>
      </c>
      <c r="G22" s="3">
        <f t="shared" si="2"/>
        <v>390</v>
      </c>
      <c r="H22" s="3">
        <f t="shared" si="3"/>
        <v>410</v>
      </c>
      <c r="I22" s="3">
        <f t="shared" si="4"/>
        <v>450</v>
      </c>
    </row>
    <row r="23" spans="1:20" ht="15.75" customHeight="1" x14ac:dyDescent="0.25">
      <c r="A23" s="446" t="s">
        <v>217</v>
      </c>
      <c r="B23" s="450">
        <v>1</v>
      </c>
      <c r="C23" s="451">
        <v>0.4</v>
      </c>
      <c r="D23" s="451">
        <v>94</v>
      </c>
      <c r="E23" s="3">
        <f t="shared" si="0"/>
        <v>400</v>
      </c>
      <c r="F23" s="3">
        <f t="shared" si="1"/>
        <v>430</v>
      </c>
      <c r="G23" s="3">
        <f t="shared" si="2"/>
        <v>310</v>
      </c>
      <c r="H23" s="3">
        <f t="shared" si="3"/>
        <v>420</v>
      </c>
    </row>
    <row r="24" spans="1:20" ht="15.75" customHeight="1" x14ac:dyDescent="0.25">
      <c r="A24" s="446" t="s">
        <v>220</v>
      </c>
      <c r="B24" s="450">
        <v>1</v>
      </c>
      <c r="C24" s="451">
        <v>0.43</v>
      </c>
      <c r="D24" s="451">
        <v>206</v>
      </c>
      <c r="E24" s="3">
        <f t="shared" ref="E24:J24" si="5">AVERAGE(E21:E23)</f>
        <v>400</v>
      </c>
      <c r="F24" s="3">
        <f t="shared" si="5"/>
        <v>423.33333333333331</v>
      </c>
      <c r="G24" s="3">
        <f t="shared" si="5"/>
        <v>363.33333333333331</v>
      </c>
      <c r="H24" s="3">
        <f t="shared" si="5"/>
        <v>413.33333333333331</v>
      </c>
      <c r="I24" s="3">
        <f t="shared" si="5"/>
        <v>430</v>
      </c>
      <c r="J24" s="3">
        <f t="shared" si="5"/>
        <v>410</v>
      </c>
    </row>
    <row r="25" spans="1:20" ht="15.75" customHeight="1" x14ac:dyDescent="0.25">
      <c r="A25" s="446" t="s">
        <v>220</v>
      </c>
      <c r="B25" s="450">
        <v>1</v>
      </c>
      <c r="C25" s="451">
        <v>0.41</v>
      </c>
      <c r="D25" s="451">
        <v>203</v>
      </c>
      <c r="E25" s="3">
        <f t="shared" ref="E25:J25" si="6">STDEVA(E21:E24)</f>
        <v>8.1649658092772608</v>
      </c>
      <c r="F25" s="3">
        <f t="shared" si="6"/>
        <v>9.4280904158206322</v>
      </c>
      <c r="G25" s="3">
        <f t="shared" si="6"/>
        <v>37.712361663282536</v>
      </c>
      <c r="H25" s="3">
        <f t="shared" si="6"/>
        <v>4.714045207910317</v>
      </c>
      <c r="I25" s="3">
        <f t="shared" si="6"/>
        <v>20</v>
      </c>
      <c r="J25" s="3">
        <f t="shared" si="6"/>
        <v>0</v>
      </c>
    </row>
    <row r="26" spans="1:20" ht="15.75" customHeight="1" x14ac:dyDescent="0.25">
      <c r="A26" s="446" t="s">
        <v>220</v>
      </c>
      <c r="B26" s="450">
        <v>1</v>
      </c>
      <c r="C26" s="451">
        <v>0.43</v>
      </c>
      <c r="D26" s="451">
        <v>184</v>
      </c>
      <c r="E26" s="3">
        <f t="shared" ref="E26:J26" si="7">E25/2</f>
        <v>4.0824829046386304</v>
      </c>
      <c r="F26" s="3">
        <f t="shared" si="7"/>
        <v>4.7140452079103161</v>
      </c>
      <c r="G26" s="3">
        <f t="shared" si="7"/>
        <v>18.856180831641268</v>
      </c>
      <c r="H26" s="3">
        <f t="shared" si="7"/>
        <v>2.3570226039551585</v>
      </c>
      <c r="I26" s="3">
        <f t="shared" si="7"/>
        <v>10</v>
      </c>
      <c r="J26" s="3">
        <f t="shared" si="7"/>
        <v>0</v>
      </c>
    </row>
    <row r="27" spans="1:20" ht="15.75" customHeight="1" x14ac:dyDescent="0.25">
      <c r="A27" s="446" t="s">
        <v>217</v>
      </c>
      <c r="B27" s="450">
        <v>2</v>
      </c>
      <c r="C27" s="451">
        <v>0.39</v>
      </c>
      <c r="D27" s="451">
        <v>342</v>
      </c>
      <c r="E27" s="451"/>
    </row>
    <row r="28" spans="1:20" ht="15.75" customHeight="1" x14ac:dyDescent="0.25">
      <c r="A28" s="446" t="s">
        <v>217</v>
      </c>
      <c r="B28" s="450">
        <v>2</v>
      </c>
      <c r="C28" s="451">
        <v>0.39</v>
      </c>
      <c r="D28" s="451">
        <v>248</v>
      </c>
      <c r="E28" s="451">
        <v>171</v>
      </c>
      <c r="F28" s="451">
        <v>206</v>
      </c>
      <c r="G28" s="451">
        <v>342</v>
      </c>
      <c r="H28" s="451">
        <v>278</v>
      </c>
      <c r="I28" s="451">
        <v>99</v>
      </c>
      <c r="J28" s="451">
        <v>103</v>
      </c>
    </row>
    <row r="29" spans="1:20" ht="15.75" customHeight="1" x14ac:dyDescent="0.25">
      <c r="A29" s="446" t="s">
        <v>217</v>
      </c>
      <c r="B29" s="450">
        <v>2</v>
      </c>
      <c r="C29" s="451">
        <v>0.31</v>
      </c>
      <c r="D29" s="451">
        <v>306</v>
      </c>
      <c r="E29" s="451">
        <v>208</v>
      </c>
      <c r="F29" s="451">
        <v>203</v>
      </c>
      <c r="G29" s="451">
        <v>248</v>
      </c>
      <c r="H29" s="451">
        <v>269</v>
      </c>
      <c r="I29" s="451">
        <v>101</v>
      </c>
    </row>
    <row r="30" spans="1:20" ht="15.75" customHeight="1" x14ac:dyDescent="0.25">
      <c r="A30" s="446" t="s">
        <v>220</v>
      </c>
      <c r="B30" s="450">
        <v>2</v>
      </c>
      <c r="C30" s="451">
        <v>0.41</v>
      </c>
      <c r="D30" s="451">
        <v>278</v>
      </c>
      <c r="E30" s="451">
        <v>94</v>
      </c>
      <c r="F30" s="451">
        <v>184</v>
      </c>
      <c r="G30" s="451">
        <v>306</v>
      </c>
      <c r="H30" s="451">
        <v>287</v>
      </c>
    </row>
    <row r="31" spans="1:20" ht="15.75" customHeight="1" x14ac:dyDescent="0.25">
      <c r="A31" s="446" t="s">
        <v>220</v>
      </c>
      <c r="B31" s="450">
        <v>2</v>
      </c>
      <c r="C31" s="451">
        <v>0.41</v>
      </c>
      <c r="D31" s="451">
        <v>269</v>
      </c>
      <c r="E31" s="3">
        <f t="shared" ref="E31:J31" si="8">AVERAGE(E28:E30)</f>
        <v>157.66666666666666</v>
      </c>
      <c r="F31" s="3">
        <f t="shared" si="8"/>
        <v>197.66666666666666</v>
      </c>
      <c r="G31" s="3">
        <f t="shared" si="8"/>
        <v>298.66666666666669</v>
      </c>
      <c r="H31" s="3">
        <f t="shared" si="8"/>
        <v>278</v>
      </c>
      <c r="I31" s="3">
        <f t="shared" si="8"/>
        <v>100</v>
      </c>
      <c r="J31" s="3">
        <f t="shared" si="8"/>
        <v>103</v>
      </c>
    </row>
    <row r="32" spans="1:20" ht="15.75" customHeight="1" x14ac:dyDescent="0.25">
      <c r="A32" s="446" t="s">
        <v>220</v>
      </c>
      <c r="B32" s="450">
        <v>2</v>
      </c>
      <c r="C32" s="451">
        <v>0.42</v>
      </c>
      <c r="D32" s="451">
        <v>287</v>
      </c>
      <c r="E32" s="3">
        <f t="shared" ref="E32:J32" si="9">STDEVA(E28:E30)</f>
        <v>58.157831229623199</v>
      </c>
      <c r="F32" s="3">
        <f t="shared" si="9"/>
        <v>11.930353445448853</v>
      </c>
      <c r="G32" s="3">
        <f t="shared" si="9"/>
        <v>47.427137098219866</v>
      </c>
      <c r="H32" s="3">
        <f t="shared" si="9"/>
        <v>9</v>
      </c>
      <c r="I32" s="3">
        <f t="shared" si="9"/>
        <v>1.4142135623730951</v>
      </c>
      <c r="J32" s="3" t="e">
        <f t="shared" si="9"/>
        <v>#DIV/0!</v>
      </c>
    </row>
    <row r="33" spans="1:10" ht="15.75" customHeight="1" x14ac:dyDescent="0.25">
      <c r="A33" s="446" t="s">
        <v>217</v>
      </c>
      <c r="B33" s="450">
        <v>0</v>
      </c>
      <c r="C33" s="451">
        <v>0.41</v>
      </c>
      <c r="D33" s="451">
        <v>99</v>
      </c>
      <c r="E33" s="3">
        <f t="shared" ref="E33:J33" si="10">E32/2</f>
        <v>29.078915614811599</v>
      </c>
      <c r="F33" s="3">
        <f t="shared" si="10"/>
        <v>5.9651767227244266</v>
      </c>
      <c r="G33" s="3">
        <f t="shared" si="10"/>
        <v>23.713568549109933</v>
      </c>
      <c r="H33" s="3">
        <f t="shared" si="10"/>
        <v>4.5</v>
      </c>
      <c r="I33" s="3">
        <f t="shared" si="10"/>
        <v>0.70710678118654757</v>
      </c>
      <c r="J33" s="3" t="e">
        <f t="shared" si="10"/>
        <v>#DIV/0!</v>
      </c>
    </row>
    <row r="34" spans="1:10" ht="15.75" customHeight="1" x14ac:dyDescent="0.25">
      <c r="A34" s="446" t="s">
        <v>217</v>
      </c>
      <c r="B34" s="450">
        <v>0</v>
      </c>
      <c r="C34" s="451">
        <v>0.45</v>
      </c>
      <c r="D34" s="451">
        <v>101</v>
      </c>
    </row>
    <row r="35" spans="1:10" ht="15.75" customHeight="1" x14ac:dyDescent="0.25">
      <c r="A35" s="446" t="s">
        <v>220</v>
      </c>
      <c r="B35" s="450">
        <v>0</v>
      </c>
      <c r="C35" s="451">
        <v>0.41</v>
      </c>
      <c r="D35" s="451">
        <v>103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1"/>
    <mergeCell ref="M1:P1"/>
    <mergeCell ref="Q1:S1"/>
    <mergeCell ref="B13:E13"/>
    <mergeCell ref="F13:H1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workbookViewId="0"/>
  </sheetViews>
  <sheetFormatPr defaultColWidth="12.625" defaultRowHeight="15" customHeight="1" x14ac:dyDescent="0.2"/>
  <cols>
    <col min="1" max="1" width="5.125" customWidth="1"/>
    <col min="2" max="2" width="3.875" customWidth="1"/>
    <col min="3" max="8" width="9.375" customWidth="1"/>
    <col min="9" max="9" width="5.625" customWidth="1"/>
    <col min="10" max="10" width="4.375" customWidth="1"/>
    <col min="11" max="13" width="11.875" customWidth="1"/>
    <col min="14" max="16" width="10.125" customWidth="1"/>
    <col min="17" max="19" width="9.375" customWidth="1"/>
    <col min="20" max="20" width="5.875" customWidth="1"/>
    <col min="21" max="21" width="4.375" customWidth="1"/>
    <col min="22" max="26" width="9.375" customWidth="1"/>
  </cols>
  <sheetData>
    <row r="1" spans="1:21" x14ac:dyDescent="0.25">
      <c r="A1" s="452" t="s">
        <v>224</v>
      </c>
      <c r="B1" s="453" t="s">
        <v>123</v>
      </c>
      <c r="C1" s="453" t="s">
        <v>225</v>
      </c>
      <c r="D1" s="453" t="s">
        <v>226</v>
      </c>
      <c r="E1" s="453" t="s">
        <v>227</v>
      </c>
      <c r="F1" s="453" t="s">
        <v>228</v>
      </c>
      <c r="G1" s="453" t="s">
        <v>229</v>
      </c>
      <c r="H1" s="454" t="s">
        <v>44</v>
      </c>
      <c r="I1" s="452" t="s">
        <v>224</v>
      </c>
      <c r="J1" s="453" t="s">
        <v>123</v>
      </c>
      <c r="K1" s="453" t="s">
        <v>230</v>
      </c>
      <c r="L1" s="455" t="s">
        <v>231</v>
      </c>
      <c r="M1" s="453" t="s">
        <v>232</v>
      </c>
      <c r="N1" s="453" t="s">
        <v>228</v>
      </c>
      <c r="O1" s="453" t="s">
        <v>229</v>
      </c>
      <c r="P1" s="454" t="s">
        <v>44</v>
      </c>
      <c r="Q1" s="352" t="s">
        <v>233</v>
      </c>
      <c r="R1" s="352" t="s">
        <v>234</v>
      </c>
      <c r="S1" s="352" t="s">
        <v>235</v>
      </c>
      <c r="T1" s="452" t="s">
        <v>224</v>
      </c>
      <c r="U1" s="453" t="s">
        <v>123</v>
      </c>
    </row>
    <row r="2" spans="1:21" x14ac:dyDescent="0.25">
      <c r="A2" s="456" t="s">
        <v>1</v>
      </c>
      <c r="B2" s="352">
        <v>0</v>
      </c>
      <c r="C2" s="457">
        <v>14</v>
      </c>
      <c r="D2" s="458">
        <v>15.8</v>
      </c>
      <c r="E2" s="458">
        <v>44.2</v>
      </c>
      <c r="F2" s="352">
        <f t="shared" ref="F2:F16" si="0">C2/E2</f>
        <v>0.31674208144796379</v>
      </c>
      <c r="G2" s="352">
        <f t="shared" ref="G2:G16" si="1">D2/E2</f>
        <v>0.3574660633484163</v>
      </c>
      <c r="H2" s="459">
        <f t="shared" ref="H2:H4" si="2">G2/F2</f>
        <v>1.1285714285714286</v>
      </c>
      <c r="I2" s="460" t="s">
        <v>1</v>
      </c>
      <c r="J2" s="461">
        <v>0</v>
      </c>
      <c r="K2" s="462">
        <v>150</v>
      </c>
      <c r="L2" s="463">
        <v>883</v>
      </c>
      <c r="M2" s="463">
        <v>636.4</v>
      </c>
      <c r="N2" s="464">
        <f t="shared" ref="N2:N16" si="3">K2/M2</f>
        <v>0.23570081709616594</v>
      </c>
      <c r="O2" s="464">
        <f t="shared" ref="O2:O16" si="4">L2/M2</f>
        <v>1.3874921433060969</v>
      </c>
      <c r="P2" s="464">
        <f t="shared" ref="P2:P4" si="5">O2/N2</f>
        <v>5.8866666666666667</v>
      </c>
      <c r="Q2" s="30">
        <f t="shared" ref="Q2:R2" si="6">AVERAGE(N2:N5)</f>
        <v>0.1712859538642329</v>
      </c>
      <c r="R2" s="30">
        <f t="shared" si="6"/>
        <v>0.48194216206806628</v>
      </c>
      <c r="S2" s="30">
        <f>AVERAGE(P2:P4)</f>
        <v>2.5195751633986929</v>
      </c>
      <c r="T2" s="460" t="s">
        <v>1</v>
      </c>
      <c r="U2" s="461">
        <v>0</v>
      </c>
    </row>
    <row r="3" spans="1:21" x14ac:dyDescent="0.25">
      <c r="A3" s="456" t="s">
        <v>1</v>
      </c>
      <c r="B3" s="352">
        <v>0</v>
      </c>
      <c r="C3" s="465">
        <v>16</v>
      </c>
      <c r="D3" s="458">
        <v>24.9</v>
      </c>
      <c r="E3" s="458">
        <v>42.8</v>
      </c>
      <c r="F3" s="352">
        <f t="shared" si="0"/>
        <v>0.37383177570093462</v>
      </c>
      <c r="G3" s="352">
        <f t="shared" si="1"/>
        <v>0.58177570093457942</v>
      </c>
      <c r="H3" s="459">
        <f t="shared" si="2"/>
        <v>1.5562499999999997</v>
      </c>
      <c r="I3" s="460" t="s">
        <v>1</v>
      </c>
      <c r="J3" s="461">
        <v>0</v>
      </c>
      <c r="K3" s="462">
        <v>120</v>
      </c>
      <c r="L3" s="463">
        <v>111</v>
      </c>
      <c r="M3" s="463">
        <v>658.2</v>
      </c>
      <c r="N3" s="464">
        <f t="shared" si="3"/>
        <v>0.18231540565177756</v>
      </c>
      <c r="O3" s="464">
        <f t="shared" si="4"/>
        <v>0.16864175022789424</v>
      </c>
      <c r="P3" s="464">
        <f t="shared" si="5"/>
        <v>0.92499999999999993</v>
      </c>
      <c r="Q3" s="352">
        <f t="shared" ref="Q3:R3" si="7">STDEVA(N2:N5)</f>
        <v>0.1194367631001876</v>
      </c>
      <c r="R3" s="352">
        <f t="shared" si="7"/>
        <v>0.60385854125531191</v>
      </c>
      <c r="S3" s="352">
        <f>STDEVA(P2:P4)</f>
        <v>2.9173437677286977</v>
      </c>
      <c r="T3" s="460" t="s">
        <v>1</v>
      </c>
      <c r="U3" s="461">
        <v>0</v>
      </c>
    </row>
    <row r="4" spans="1:21" x14ac:dyDescent="0.25">
      <c r="A4" s="456" t="s">
        <v>1</v>
      </c>
      <c r="B4" s="352">
        <v>0</v>
      </c>
      <c r="C4" s="465">
        <v>12</v>
      </c>
      <c r="D4" s="458">
        <v>13.7</v>
      </c>
      <c r="E4" s="458">
        <v>52</v>
      </c>
      <c r="F4" s="352">
        <f t="shared" si="0"/>
        <v>0.23076923076923078</v>
      </c>
      <c r="G4" s="352">
        <f t="shared" si="1"/>
        <v>0.26346153846153847</v>
      </c>
      <c r="H4" s="459">
        <f t="shared" si="2"/>
        <v>1.1416666666666666</v>
      </c>
      <c r="I4" s="460" t="s">
        <v>1</v>
      </c>
      <c r="J4" s="461">
        <v>0</v>
      </c>
      <c r="K4" s="462">
        <v>170</v>
      </c>
      <c r="L4" s="463">
        <v>127</v>
      </c>
      <c r="M4" s="463">
        <v>636.4</v>
      </c>
      <c r="N4" s="464">
        <f t="shared" si="3"/>
        <v>0.26712759270898806</v>
      </c>
      <c r="O4" s="464">
        <f t="shared" si="4"/>
        <v>0.19956002514142049</v>
      </c>
      <c r="P4" s="464">
        <f t="shared" si="5"/>
        <v>0.74705882352941178</v>
      </c>
      <c r="Q4" s="352">
        <f t="shared" ref="Q4:R4" si="8">Q3/2</f>
        <v>5.9718381550093798E-2</v>
      </c>
      <c r="R4" s="352">
        <f t="shared" si="8"/>
        <v>0.30192927062765595</v>
      </c>
      <c r="S4" s="352">
        <f>S3/1.73</f>
        <v>1.6863258772998253</v>
      </c>
      <c r="T4" s="460" t="s">
        <v>1</v>
      </c>
      <c r="U4" s="461">
        <v>0</v>
      </c>
    </row>
    <row r="5" spans="1:21" x14ac:dyDescent="0.25">
      <c r="A5" s="456" t="s">
        <v>1</v>
      </c>
      <c r="B5" s="352">
        <v>0</v>
      </c>
      <c r="C5" s="352"/>
      <c r="D5" s="458">
        <v>33.299999999999997</v>
      </c>
      <c r="E5" s="458">
        <v>128.5</v>
      </c>
      <c r="F5" s="352">
        <f t="shared" si="0"/>
        <v>0</v>
      </c>
      <c r="G5" s="352">
        <f t="shared" si="1"/>
        <v>0.2591439688715953</v>
      </c>
      <c r="H5" s="459"/>
      <c r="I5" s="460" t="s">
        <v>1</v>
      </c>
      <c r="J5" s="461">
        <v>0</v>
      </c>
      <c r="K5" s="464"/>
      <c r="L5" s="463">
        <v>105</v>
      </c>
      <c r="M5" s="463">
        <v>610.20000000000005</v>
      </c>
      <c r="N5" s="464">
        <f t="shared" si="3"/>
        <v>0</v>
      </c>
      <c r="O5" s="464">
        <f t="shared" si="4"/>
        <v>0.17207472959685347</v>
      </c>
      <c r="P5" s="464"/>
      <c r="Q5" s="352"/>
      <c r="R5" s="352"/>
      <c r="S5" s="352"/>
      <c r="T5" s="460" t="s">
        <v>1</v>
      </c>
      <c r="U5" s="461">
        <v>0</v>
      </c>
    </row>
    <row r="6" spans="1:21" x14ac:dyDescent="0.25">
      <c r="A6" s="456" t="s">
        <v>1</v>
      </c>
      <c r="B6" s="352">
        <v>2</v>
      </c>
      <c r="C6" s="465">
        <v>18</v>
      </c>
      <c r="D6" s="352">
        <v>28</v>
      </c>
      <c r="E6" s="352">
        <v>92.6</v>
      </c>
      <c r="F6" s="352">
        <f t="shared" si="0"/>
        <v>0.19438444924406048</v>
      </c>
      <c r="G6" s="352">
        <f t="shared" si="1"/>
        <v>0.30237580993520519</v>
      </c>
      <c r="H6" s="459">
        <f t="shared" ref="H6:H16" si="9">G6/F6</f>
        <v>1.5555555555555556</v>
      </c>
      <c r="I6" s="456" t="s">
        <v>1</v>
      </c>
      <c r="J6" s="352">
        <v>2</v>
      </c>
      <c r="K6" s="466">
        <v>574</v>
      </c>
      <c r="L6" s="467">
        <v>113</v>
      </c>
      <c r="M6" s="468">
        <v>632</v>
      </c>
      <c r="N6" s="30">
        <f t="shared" si="3"/>
        <v>0.90822784810126578</v>
      </c>
      <c r="O6" s="30">
        <f t="shared" si="4"/>
        <v>0.17879746835443039</v>
      </c>
      <c r="P6" s="30">
        <f t="shared" ref="P6:P16" si="10">O6/N6</f>
        <v>0.19686411149825786</v>
      </c>
      <c r="Q6" s="30">
        <f t="shared" ref="Q6:S6" si="11">AVERAGE(N6:N8)</f>
        <v>1.094141991880595</v>
      </c>
      <c r="R6" s="30">
        <f t="shared" si="11"/>
        <v>0.61492928268784286</v>
      </c>
      <c r="S6" s="30">
        <f t="shared" si="11"/>
        <v>0.51958591987490177</v>
      </c>
      <c r="T6" s="456" t="s">
        <v>1</v>
      </c>
      <c r="U6" s="352">
        <v>2</v>
      </c>
    </row>
    <row r="7" spans="1:21" x14ac:dyDescent="0.25">
      <c r="A7" s="456" t="s">
        <v>1</v>
      </c>
      <c r="B7" s="352">
        <v>2</v>
      </c>
      <c r="C7" s="465">
        <v>22</v>
      </c>
      <c r="D7" s="352">
        <v>36.9</v>
      </c>
      <c r="E7" s="469">
        <v>203.6</v>
      </c>
      <c r="F7" s="352">
        <f t="shared" si="0"/>
        <v>0.10805500982318271</v>
      </c>
      <c r="G7" s="352">
        <f t="shared" si="1"/>
        <v>0.18123772102161101</v>
      </c>
      <c r="H7" s="459">
        <f t="shared" si="9"/>
        <v>1.6772727272727272</v>
      </c>
      <c r="I7" s="456" t="s">
        <v>1</v>
      </c>
      <c r="J7" s="352">
        <v>2</v>
      </c>
      <c r="K7" s="466">
        <v>817</v>
      </c>
      <c r="L7" s="470">
        <v>993</v>
      </c>
      <c r="M7" s="468">
        <v>662.5</v>
      </c>
      <c r="N7" s="30">
        <f t="shared" si="3"/>
        <v>1.2332075471698114</v>
      </c>
      <c r="O7" s="30">
        <f t="shared" si="4"/>
        <v>1.4988679245283019</v>
      </c>
      <c r="P7" s="30">
        <f t="shared" si="10"/>
        <v>1.215422276621787</v>
      </c>
      <c r="Q7" s="352">
        <f t="shared" ref="Q7:S7" si="12">STDEVA(N6:N8)</f>
        <v>0.16747848782547486</v>
      </c>
      <c r="R7" s="352">
        <f t="shared" si="12"/>
        <v>0.76553557617345103</v>
      </c>
      <c r="S7" s="352">
        <f t="shared" si="12"/>
        <v>0.60313848624432809</v>
      </c>
      <c r="T7" s="456" t="s">
        <v>1</v>
      </c>
      <c r="U7" s="352">
        <v>2</v>
      </c>
    </row>
    <row r="8" spans="1:21" x14ac:dyDescent="0.25">
      <c r="A8" s="456" t="s">
        <v>1</v>
      </c>
      <c r="B8" s="352">
        <v>2</v>
      </c>
      <c r="C8" s="465">
        <v>18</v>
      </c>
      <c r="D8" s="352">
        <v>29.6</v>
      </c>
      <c r="E8" s="352">
        <v>150.9</v>
      </c>
      <c r="F8" s="352">
        <f t="shared" si="0"/>
        <v>0.11928429423459244</v>
      </c>
      <c r="G8" s="352">
        <f t="shared" si="1"/>
        <v>0.19615639496355203</v>
      </c>
      <c r="H8" s="459">
        <f t="shared" si="9"/>
        <v>1.6444444444444446</v>
      </c>
      <c r="I8" s="456" t="s">
        <v>1</v>
      </c>
      <c r="J8" s="352">
        <v>2</v>
      </c>
      <c r="K8" s="466">
        <v>751</v>
      </c>
      <c r="L8" s="470">
        <v>110</v>
      </c>
      <c r="M8" s="471">
        <v>658.2</v>
      </c>
      <c r="N8" s="30">
        <f t="shared" si="3"/>
        <v>1.1409905803707079</v>
      </c>
      <c r="O8" s="30">
        <f t="shared" si="4"/>
        <v>0.1671224551807961</v>
      </c>
      <c r="P8" s="30">
        <f t="shared" si="10"/>
        <v>0.14647137150466047</v>
      </c>
      <c r="Q8" s="352">
        <f t="shared" ref="Q8:S8" si="13">Q7/1.73</f>
        <v>9.6808374465592414E-2</v>
      </c>
      <c r="R8" s="352">
        <f t="shared" si="13"/>
        <v>0.44250611339505841</v>
      </c>
      <c r="S8" s="352">
        <f t="shared" si="13"/>
        <v>0.34863496314701048</v>
      </c>
      <c r="T8" s="456" t="s">
        <v>1</v>
      </c>
      <c r="U8" s="352">
        <v>2</v>
      </c>
    </row>
    <row r="9" spans="1:21" x14ac:dyDescent="0.25">
      <c r="A9" s="456" t="s">
        <v>236</v>
      </c>
      <c r="B9" s="352">
        <v>0</v>
      </c>
      <c r="C9" s="465">
        <v>20</v>
      </c>
      <c r="D9" s="472">
        <v>18.399999999999999</v>
      </c>
      <c r="E9" s="472">
        <v>44.7</v>
      </c>
      <c r="F9" s="352">
        <f t="shared" si="0"/>
        <v>0.44742729306487694</v>
      </c>
      <c r="G9" s="352">
        <f t="shared" si="1"/>
        <v>0.41163310961968674</v>
      </c>
      <c r="H9" s="459">
        <f t="shared" si="9"/>
        <v>0.91999999999999993</v>
      </c>
      <c r="I9" s="473" t="s">
        <v>236</v>
      </c>
      <c r="J9" s="474">
        <v>0</v>
      </c>
      <c r="K9" s="475">
        <v>100</v>
      </c>
      <c r="L9" s="476">
        <v>599</v>
      </c>
      <c r="M9" s="476">
        <v>662.5</v>
      </c>
      <c r="N9" s="477">
        <f t="shared" si="3"/>
        <v>0.15094339622641509</v>
      </c>
      <c r="O9" s="477">
        <f t="shared" si="4"/>
        <v>0.90415094339622637</v>
      </c>
      <c r="P9" s="477">
        <f t="shared" si="10"/>
        <v>5.99</v>
      </c>
      <c r="Q9" s="352"/>
      <c r="R9" s="352"/>
      <c r="S9" s="352"/>
      <c r="T9" s="473" t="s">
        <v>236</v>
      </c>
      <c r="U9" s="474">
        <v>0</v>
      </c>
    </row>
    <row r="10" spans="1:21" x14ac:dyDescent="0.25">
      <c r="A10" s="456" t="s">
        <v>236</v>
      </c>
      <c r="B10" s="352">
        <v>0</v>
      </c>
      <c r="C10" s="465">
        <v>12</v>
      </c>
      <c r="D10" s="458">
        <v>17.899999999999999</v>
      </c>
      <c r="E10" s="458">
        <v>46.3</v>
      </c>
      <c r="F10" s="352">
        <f t="shared" si="0"/>
        <v>0.25917926565874733</v>
      </c>
      <c r="G10" s="352">
        <f t="shared" si="1"/>
        <v>0.38660907127429806</v>
      </c>
      <c r="H10" s="459">
        <f t="shared" si="9"/>
        <v>1.4916666666666665</v>
      </c>
      <c r="I10" s="473" t="s">
        <v>236</v>
      </c>
      <c r="J10" s="474">
        <v>0</v>
      </c>
      <c r="K10" s="475">
        <v>110</v>
      </c>
      <c r="L10" s="476">
        <v>104</v>
      </c>
      <c r="M10" s="476">
        <v>632</v>
      </c>
      <c r="N10" s="477">
        <f t="shared" si="3"/>
        <v>0.17405063291139242</v>
      </c>
      <c r="O10" s="477">
        <f t="shared" si="4"/>
        <v>0.16455696202531644</v>
      </c>
      <c r="P10" s="477">
        <f t="shared" si="10"/>
        <v>0.94545454545454533</v>
      </c>
      <c r="Q10" s="30">
        <f>AVERAGE(N9:N12)</f>
        <v>0.35304829880033173</v>
      </c>
      <c r="R10" s="30">
        <f t="shared" ref="R10:S10" si="14">AVERAGE(O9:O11)</f>
        <v>0.74296035519823445</v>
      </c>
      <c r="S10" s="30">
        <f t="shared" si="14"/>
        <v>3.7149595430747269</v>
      </c>
      <c r="T10" s="473" t="s">
        <v>236</v>
      </c>
      <c r="U10" s="474">
        <v>0</v>
      </c>
    </row>
    <row r="11" spans="1:21" x14ac:dyDescent="0.25">
      <c r="A11" s="456" t="s">
        <v>236</v>
      </c>
      <c r="B11" s="352">
        <v>0</v>
      </c>
      <c r="C11" s="465">
        <v>16</v>
      </c>
      <c r="D11" s="458">
        <v>50.7</v>
      </c>
      <c r="E11" s="458">
        <v>57.1</v>
      </c>
      <c r="F11" s="352">
        <f t="shared" si="0"/>
        <v>0.28021015761821366</v>
      </c>
      <c r="G11" s="352">
        <f t="shared" si="1"/>
        <v>0.88791593695271454</v>
      </c>
      <c r="H11" s="459">
        <f t="shared" si="9"/>
        <v>3.1687500000000002</v>
      </c>
      <c r="I11" s="473" t="s">
        <v>236</v>
      </c>
      <c r="J11" s="474">
        <v>0</v>
      </c>
      <c r="K11" s="475">
        <v>191</v>
      </c>
      <c r="L11" s="476">
        <v>804</v>
      </c>
      <c r="M11" s="476">
        <v>693</v>
      </c>
      <c r="N11" s="477">
        <f t="shared" si="3"/>
        <v>0.27561327561327559</v>
      </c>
      <c r="O11" s="477">
        <f t="shared" si="4"/>
        <v>1.1601731601731602</v>
      </c>
      <c r="P11" s="477">
        <f t="shared" si="10"/>
        <v>4.2094240837696342</v>
      </c>
      <c r="Q11" s="352">
        <f>STDEVA(N9:N12)</f>
        <v>0.31045099549428734</v>
      </c>
      <c r="R11" s="352">
        <f t="shared" ref="R11:S11" si="15">STDEVA(O9:O11)</f>
        <v>0.51701035559870778</v>
      </c>
      <c r="S11" s="352">
        <f t="shared" si="15"/>
        <v>2.5583649265199191</v>
      </c>
      <c r="T11" s="473" t="s">
        <v>236</v>
      </c>
      <c r="U11" s="474">
        <v>0</v>
      </c>
    </row>
    <row r="12" spans="1:21" x14ac:dyDescent="0.25">
      <c r="A12" s="456" t="s">
        <v>236</v>
      </c>
      <c r="B12" s="352">
        <v>0</v>
      </c>
      <c r="C12" s="465">
        <v>12</v>
      </c>
      <c r="D12" s="352"/>
      <c r="E12" s="458">
        <v>48.7</v>
      </c>
      <c r="F12" s="352">
        <f t="shared" si="0"/>
        <v>0.24640657084188911</v>
      </c>
      <c r="G12" s="352">
        <f t="shared" si="1"/>
        <v>0</v>
      </c>
      <c r="H12" s="459">
        <f t="shared" si="9"/>
        <v>0</v>
      </c>
      <c r="I12" s="473" t="s">
        <v>236</v>
      </c>
      <c r="J12" s="474">
        <v>0</v>
      </c>
      <c r="K12" s="475">
        <v>566</v>
      </c>
      <c r="L12" s="477"/>
      <c r="M12" s="476">
        <v>697.4</v>
      </c>
      <c r="N12" s="477">
        <f t="shared" si="3"/>
        <v>0.81158589045024376</v>
      </c>
      <c r="O12" s="477">
        <f t="shared" si="4"/>
        <v>0</v>
      </c>
      <c r="P12" s="477">
        <f t="shared" si="10"/>
        <v>0</v>
      </c>
      <c r="Q12" s="352">
        <f>Q11/2</f>
        <v>0.15522549774714367</v>
      </c>
      <c r="R12" s="352">
        <f t="shared" ref="R12:S12" si="16">R11/1.73</f>
        <v>0.29884991653104498</v>
      </c>
      <c r="S12" s="352">
        <f t="shared" si="16"/>
        <v>1.4788236569479301</v>
      </c>
      <c r="T12" s="473" t="s">
        <v>236</v>
      </c>
      <c r="U12" s="474">
        <v>0</v>
      </c>
    </row>
    <row r="13" spans="1:21" x14ac:dyDescent="0.25">
      <c r="A13" s="456" t="s">
        <v>236</v>
      </c>
      <c r="B13" s="352">
        <v>2</v>
      </c>
      <c r="C13" s="465">
        <v>10</v>
      </c>
      <c r="D13" s="352">
        <v>30.8</v>
      </c>
      <c r="E13" s="352">
        <v>130.9</v>
      </c>
      <c r="F13" s="352">
        <f t="shared" si="0"/>
        <v>7.6394194041252861E-2</v>
      </c>
      <c r="G13" s="352">
        <f t="shared" si="1"/>
        <v>0.23529411764705882</v>
      </c>
      <c r="H13" s="459">
        <f t="shared" si="9"/>
        <v>3.08</v>
      </c>
      <c r="I13" s="456" t="s">
        <v>236</v>
      </c>
      <c r="J13" s="352">
        <v>2</v>
      </c>
      <c r="K13" s="466">
        <v>808</v>
      </c>
      <c r="L13" s="467">
        <v>759</v>
      </c>
      <c r="M13" s="468">
        <v>636.4</v>
      </c>
      <c r="N13" s="30">
        <f t="shared" si="3"/>
        <v>1.2696417347580138</v>
      </c>
      <c r="O13" s="30">
        <f t="shared" si="4"/>
        <v>1.1926461345065997</v>
      </c>
      <c r="P13" s="30">
        <f t="shared" si="10"/>
        <v>0.93935643564356452</v>
      </c>
      <c r="Q13" s="30">
        <f t="shared" ref="Q13:S13" si="17">AVERAGE(N13:N16)</f>
        <v>0.97503559481992108</v>
      </c>
      <c r="R13" s="30">
        <f t="shared" si="17"/>
        <v>0.85359310088709006</v>
      </c>
      <c r="S13" s="30">
        <f t="shared" si="17"/>
        <v>0.91447469559705064</v>
      </c>
      <c r="T13" s="456" t="s">
        <v>236</v>
      </c>
      <c r="U13" s="352">
        <v>2</v>
      </c>
    </row>
    <row r="14" spans="1:21" x14ac:dyDescent="0.25">
      <c r="A14" s="456" t="s">
        <v>236</v>
      </c>
      <c r="B14" s="352">
        <v>2</v>
      </c>
      <c r="C14" s="465">
        <v>11</v>
      </c>
      <c r="D14" s="352">
        <v>38.799999999999997</v>
      </c>
      <c r="E14" s="352">
        <v>64.400000000000006</v>
      </c>
      <c r="F14" s="352">
        <f t="shared" si="0"/>
        <v>0.17080745341614906</v>
      </c>
      <c r="G14" s="352">
        <f t="shared" si="1"/>
        <v>0.60248447204968936</v>
      </c>
      <c r="H14" s="459">
        <f t="shared" si="9"/>
        <v>3.5272727272727269</v>
      </c>
      <c r="I14" s="456" t="s">
        <v>236</v>
      </c>
      <c r="J14" s="352">
        <v>2</v>
      </c>
      <c r="K14" s="466">
        <v>668</v>
      </c>
      <c r="L14" s="467">
        <v>660</v>
      </c>
      <c r="M14" s="468">
        <v>658.2</v>
      </c>
      <c r="N14" s="30">
        <f t="shared" si="3"/>
        <v>1.0148890914615618</v>
      </c>
      <c r="O14" s="30">
        <f t="shared" si="4"/>
        <v>1.0027347310847765</v>
      </c>
      <c r="P14" s="30">
        <f t="shared" si="10"/>
        <v>0.98802395209580829</v>
      </c>
      <c r="Q14" s="352">
        <f t="shared" ref="Q14:S14" si="18">STDEVA(N13:N16)</f>
        <v>0.55779070355355975</v>
      </c>
      <c r="R14" s="352">
        <f t="shared" si="18"/>
        <v>0.45587801637311187</v>
      </c>
      <c r="S14" s="352">
        <f t="shared" si="18"/>
        <v>0.13095458057134954</v>
      </c>
      <c r="T14" s="456" t="s">
        <v>236</v>
      </c>
      <c r="U14" s="352">
        <v>2</v>
      </c>
    </row>
    <row r="15" spans="1:21" x14ac:dyDescent="0.25">
      <c r="A15" s="456" t="s">
        <v>236</v>
      </c>
      <c r="B15" s="352">
        <v>2</v>
      </c>
      <c r="C15" s="465">
        <v>10</v>
      </c>
      <c r="D15" s="352">
        <v>17.8</v>
      </c>
      <c r="E15" s="352">
        <v>77.3</v>
      </c>
      <c r="F15" s="352">
        <f t="shared" si="0"/>
        <v>0.12936610608020699</v>
      </c>
      <c r="G15" s="352">
        <f t="shared" si="1"/>
        <v>0.23027166882276845</v>
      </c>
      <c r="H15" s="459">
        <f t="shared" si="9"/>
        <v>1.78</v>
      </c>
      <c r="I15" s="456" t="s">
        <v>236</v>
      </c>
      <c r="J15" s="352">
        <v>2</v>
      </c>
      <c r="K15" s="466">
        <v>920</v>
      </c>
      <c r="L15" s="467">
        <v>665</v>
      </c>
      <c r="M15" s="468">
        <v>640.70000000000005</v>
      </c>
      <c r="N15" s="30">
        <f t="shared" si="3"/>
        <v>1.4359294521616981</v>
      </c>
      <c r="O15" s="30">
        <f t="shared" si="4"/>
        <v>1.0379272670516622</v>
      </c>
      <c r="P15" s="30">
        <f t="shared" si="10"/>
        <v>0.72282608695652173</v>
      </c>
      <c r="Q15" s="352">
        <f t="shared" ref="Q15:S15" si="19">Q14/2</f>
        <v>0.27889535177677988</v>
      </c>
      <c r="R15" s="352">
        <f t="shared" si="19"/>
        <v>0.22793900818655594</v>
      </c>
      <c r="S15" s="352">
        <f t="shared" si="19"/>
        <v>6.5477290285674769E-2</v>
      </c>
      <c r="T15" s="456" t="s">
        <v>236</v>
      </c>
      <c r="U15" s="352">
        <v>2</v>
      </c>
    </row>
    <row r="16" spans="1:21" x14ac:dyDescent="0.25">
      <c r="A16" s="478" t="s">
        <v>236</v>
      </c>
      <c r="B16" s="479">
        <v>2</v>
      </c>
      <c r="C16" s="465">
        <v>18</v>
      </c>
      <c r="D16" s="479">
        <v>35.1</v>
      </c>
      <c r="E16" s="479">
        <v>46.6</v>
      </c>
      <c r="F16" s="479">
        <f t="shared" si="0"/>
        <v>0.38626609442060084</v>
      </c>
      <c r="G16" s="479">
        <f t="shared" si="1"/>
        <v>0.75321888412017168</v>
      </c>
      <c r="H16" s="480">
        <f t="shared" si="9"/>
        <v>1.9500000000000002</v>
      </c>
      <c r="I16" s="478" t="s">
        <v>236</v>
      </c>
      <c r="J16" s="479">
        <v>2</v>
      </c>
      <c r="K16" s="466">
        <v>130</v>
      </c>
      <c r="L16" s="467">
        <v>131</v>
      </c>
      <c r="M16" s="468">
        <v>723.5</v>
      </c>
      <c r="N16" s="30">
        <f t="shared" si="3"/>
        <v>0.1796821008984105</v>
      </c>
      <c r="O16" s="30">
        <f t="shared" si="4"/>
        <v>0.18106427090532135</v>
      </c>
      <c r="P16" s="30">
        <f t="shared" si="10"/>
        <v>1.0076923076923077</v>
      </c>
      <c r="Q16" s="352"/>
      <c r="R16" s="352"/>
      <c r="S16" s="352"/>
      <c r="T16" s="478" t="s">
        <v>236</v>
      </c>
      <c r="U16" s="479">
        <v>2</v>
      </c>
    </row>
    <row r="17" spans="1:19" x14ac:dyDescent="0.25">
      <c r="J17" s="352"/>
      <c r="K17" s="352"/>
      <c r="L17" s="352"/>
      <c r="M17" s="352"/>
      <c r="N17" s="352"/>
      <c r="O17" s="352"/>
      <c r="P17" s="352"/>
      <c r="Q17" s="352"/>
      <c r="R17" s="352"/>
      <c r="S17" s="352"/>
    </row>
    <row r="18" spans="1:19" x14ac:dyDescent="0.25">
      <c r="J18" s="352"/>
      <c r="K18" s="352"/>
      <c r="L18" s="352"/>
      <c r="M18" s="352"/>
      <c r="N18" s="352"/>
      <c r="O18" s="352"/>
      <c r="P18" s="352"/>
      <c r="Q18" s="352"/>
      <c r="R18" s="352"/>
      <c r="S18" s="352"/>
    </row>
    <row r="19" spans="1:19" x14ac:dyDescent="0.25">
      <c r="B19" s="3" t="s">
        <v>237</v>
      </c>
      <c r="J19" s="352"/>
      <c r="K19" s="352"/>
      <c r="L19" s="352"/>
      <c r="M19" s="352"/>
      <c r="N19" s="352"/>
      <c r="O19" s="352"/>
      <c r="P19" s="352"/>
      <c r="Q19" s="352"/>
      <c r="R19" s="352"/>
      <c r="S19" s="352"/>
    </row>
    <row r="20" spans="1:19" x14ac:dyDescent="0.25">
      <c r="B20" s="3" t="s">
        <v>238</v>
      </c>
      <c r="J20" s="352"/>
      <c r="K20" s="352"/>
      <c r="L20" s="352"/>
      <c r="M20" s="352"/>
      <c r="N20" s="352"/>
      <c r="O20" s="352"/>
      <c r="P20" s="352"/>
      <c r="Q20" s="352"/>
      <c r="R20" s="352"/>
      <c r="S20" s="352"/>
    </row>
    <row r="21" spans="1:19" ht="15.75" customHeight="1" x14ac:dyDescent="0.25">
      <c r="J21" s="352"/>
      <c r="K21" s="352"/>
      <c r="L21" s="352"/>
      <c r="M21" s="352"/>
      <c r="N21" s="352"/>
      <c r="O21" s="352"/>
      <c r="P21" s="352"/>
      <c r="Q21" s="352"/>
      <c r="R21" s="352"/>
      <c r="S21" s="352"/>
    </row>
    <row r="22" spans="1:19" ht="15.75" customHeight="1" x14ac:dyDescent="0.25">
      <c r="A22" s="452" t="s">
        <v>224</v>
      </c>
      <c r="B22" s="453" t="s">
        <v>123</v>
      </c>
      <c r="C22" s="453" t="s">
        <v>225</v>
      </c>
      <c r="D22" s="453" t="s">
        <v>226</v>
      </c>
      <c r="E22" s="453" t="s">
        <v>227</v>
      </c>
      <c r="F22" s="453" t="s">
        <v>228</v>
      </c>
      <c r="G22" s="453" t="s">
        <v>229</v>
      </c>
      <c r="H22" s="454" t="s">
        <v>44</v>
      </c>
      <c r="J22" s="352"/>
      <c r="K22" s="352" t="s">
        <v>239</v>
      </c>
      <c r="L22" s="352" t="s">
        <v>240</v>
      </c>
      <c r="M22" s="352" t="s">
        <v>241</v>
      </c>
      <c r="N22" s="452" t="s">
        <v>224</v>
      </c>
      <c r="O22" s="453" t="s">
        <v>123</v>
      </c>
      <c r="P22" s="352"/>
      <c r="Q22" s="352">
        <v>5.89</v>
      </c>
      <c r="R22" s="352">
        <f t="shared" ref="R22:R34" si="20">+LN(Q22)</f>
        <v>1.7732559976634952</v>
      </c>
      <c r="S22" s="352"/>
    </row>
    <row r="23" spans="1:19" ht="15.75" customHeight="1" x14ac:dyDescent="0.25">
      <c r="A23" s="456" t="s">
        <v>1</v>
      </c>
      <c r="B23" s="352">
        <v>0</v>
      </c>
      <c r="C23" s="457">
        <v>14</v>
      </c>
      <c r="D23" s="458">
        <v>15.8</v>
      </c>
      <c r="E23" s="458">
        <v>44.2</v>
      </c>
      <c r="F23" s="352">
        <f t="shared" ref="F23:F29" si="21">C23/E23</f>
        <v>0.31674208144796379</v>
      </c>
      <c r="G23" s="352">
        <f t="shared" ref="G23:G29" si="22">D23/E23</f>
        <v>0.3574660633484163</v>
      </c>
      <c r="H23" s="459">
        <f t="shared" ref="H23:H25" si="23">G23/F23</f>
        <v>1.1285714285714286</v>
      </c>
      <c r="J23" s="352"/>
      <c r="K23" s="352">
        <f>AVERAGE(F23:F25)</f>
        <v>0.30711436263937641</v>
      </c>
      <c r="L23" s="352">
        <f>AVERAGE(G23:G26)</f>
        <v>0.36546181790403237</v>
      </c>
      <c r="M23" s="352">
        <f>AVERAGE(H23:H25)</f>
        <v>1.2754960317460318</v>
      </c>
      <c r="N23" s="456" t="s">
        <v>1</v>
      </c>
      <c r="O23" s="352">
        <v>0</v>
      </c>
      <c r="P23" s="352"/>
      <c r="Q23" s="352">
        <v>0.93</v>
      </c>
      <c r="R23" s="352">
        <f t="shared" si="20"/>
        <v>-7.2570692834835374E-2</v>
      </c>
    </row>
    <row r="24" spans="1:19" ht="15.75" customHeight="1" x14ac:dyDescent="0.25">
      <c r="A24" s="456" t="s">
        <v>1</v>
      </c>
      <c r="B24" s="352">
        <v>0</v>
      </c>
      <c r="C24" s="465">
        <v>16</v>
      </c>
      <c r="D24" s="458">
        <v>24.9</v>
      </c>
      <c r="E24" s="458">
        <v>42.8</v>
      </c>
      <c r="F24" s="352">
        <f t="shared" si="21"/>
        <v>0.37383177570093462</v>
      </c>
      <c r="G24" s="352">
        <f t="shared" si="22"/>
        <v>0.58177570093457942</v>
      </c>
      <c r="H24" s="459">
        <f t="shared" si="23"/>
        <v>1.5562499999999997</v>
      </c>
      <c r="J24" s="352"/>
      <c r="K24" s="352">
        <f>+STDEVA(F23:F25)</f>
        <v>7.2015572397064492E-2</v>
      </c>
      <c r="L24" s="352">
        <f>+STDEVA(G23:G26)</f>
        <v>0.15117668483367161</v>
      </c>
      <c r="M24" s="352">
        <f>+STDEVA(H23:H25)</f>
        <v>0.24322821450842214</v>
      </c>
      <c r="N24" s="456" t="s">
        <v>1</v>
      </c>
      <c r="O24" s="352">
        <v>0</v>
      </c>
      <c r="P24" s="352"/>
      <c r="Q24" s="352">
        <v>0.75</v>
      </c>
      <c r="R24" s="352">
        <f t="shared" si="20"/>
        <v>-0.2876820724517809</v>
      </c>
    </row>
    <row r="25" spans="1:19" ht="15.75" customHeight="1" x14ac:dyDescent="0.25">
      <c r="A25" s="456" t="s">
        <v>1</v>
      </c>
      <c r="B25" s="352">
        <v>0</v>
      </c>
      <c r="C25" s="465">
        <v>12</v>
      </c>
      <c r="D25" s="458">
        <v>13.7</v>
      </c>
      <c r="E25" s="458">
        <v>52</v>
      </c>
      <c r="F25" s="352">
        <f t="shared" si="21"/>
        <v>0.23076923076923078</v>
      </c>
      <c r="G25" s="352">
        <f t="shared" si="22"/>
        <v>0.26346153846153847</v>
      </c>
      <c r="H25" s="459">
        <f t="shared" si="23"/>
        <v>1.1416666666666666</v>
      </c>
      <c r="J25" s="352"/>
      <c r="K25" s="352">
        <f>+K24/1.73</f>
        <v>4.1627498495413001E-2</v>
      </c>
      <c r="L25" s="352">
        <f>+L24/2</f>
        <v>7.5588342416835805E-2</v>
      </c>
      <c r="M25" s="352">
        <f>+M24/1.73</f>
        <v>0.14059434364648679</v>
      </c>
      <c r="N25" s="456" t="s">
        <v>1</v>
      </c>
      <c r="O25" s="352">
        <v>0</v>
      </c>
      <c r="P25" s="352"/>
      <c r="Q25" s="352">
        <v>0.2</v>
      </c>
      <c r="R25" s="352">
        <f t="shared" si="20"/>
        <v>-1.6094379124341003</v>
      </c>
    </row>
    <row r="26" spans="1:19" ht="15.75" customHeight="1" x14ac:dyDescent="0.25">
      <c r="A26" s="456" t="s">
        <v>1</v>
      </c>
      <c r="B26" s="352">
        <v>0</v>
      </c>
      <c r="C26" s="352"/>
      <c r="D26" s="458">
        <v>33.299999999999997</v>
      </c>
      <c r="E26" s="458">
        <v>128.5</v>
      </c>
      <c r="F26" s="352">
        <f t="shared" si="21"/>
        <v>0</v>
      </c>
      <c r="G26" s="352">
        <f t="shared" si="22"/>
        <v>0.2591439688715953</v>
      </c>
      <c r="H26" s="459"/>
      <c r="J26" s="352"/>
      <c r="K26" s="352"/>
      <c r="L26" s="352"/>
      <c r="M26" s="352"/>
      <c r="N26" s="456" t="s">
        <v>1</v>
      </c>
      <c r="O26" s="352">
        <v>0</v>
      </c>
      <c r="P26" s="352"/>
      <c r="Q26" s="352">
        <v>1.22</v>
      </c>
      <c r="R26" s="352">
        <f t="shared" si="20"/>
        <v>0.19885085874516517</v>
      </c>
    </row>
    <row r="27" spans="1:19" ht="15.75" customHeight="1" x14ac:dyDescent="0.25">
      <c r="A27" s="456" t="s">
        <v>1</v>
      </c>
      <c r="B27" s="352">
        <v>2</v>
      </c>
      <c r="C27" s="465">
        <v>18</v>
      </c>
      <c r="D27" s="352">
        <v>28</v>
      </c>
      <c r="E27" s="352">
        <v>92.6</v>
      </c>
      <c r="F27" s="352">
        <f t="shared" si="21"/>
        <v>0.19438444924406048</v>
      </c>
      <c r="G27" s="352">
        <f t="shared" si="22"/>
        <v>0.30237580993520519</v>
      </c>
      <c r="H27" s="459">
        <f t="shared" ref="H27:H29" si="24">G27/F27</f>
        <v>1.5555555555555556</v>
      </c>
      <c r="J27" s="352"/>
      <c r="K27" s="352">
        <f t="shared" ref="K27:M27" si="25">+AVERAGE(F27:F29)</f>
        <v>0.14057458443394522</v>
      </c>
      <c r="L27" s="352">
        <f t="shared" si="25"/>
        <v>0.2265899753067894</v>
      </c>
      <c r="M27" s="352">
        <f t="shared" si="25"/>
        <v>1.625757575757576</v>
      </c>
      <c r="N27" s="456" t="s">
        <v>1</v>
      </c>
      <c r="O27" s="352">
        <v>2</v>
      </c>
      <c r="P27" s="352"/>
      <c r="Q27" s="352">
        <v>0.15</v>
      </c>
      <c r="R27" s="352">
        <f t="shared" si="20"/>
        <v>-1.8971199848858813</v>
      </c>
    </row>
    <row r="28" spans="1:19" ht="15.75" customHeight="1" x14ac:dyDescent="0.25">
      <c r="A28" s="456" t="s">
        <v>1</v>
      </c>
      <c r="B28" s="352">
        <v>2</v>
      </c>
      <c r="C28" s="465">
        <v>22</v>
      </c>
      <c r="D28" s="352">
        <v>36.9</v>
      </c>
      <c r="E28" s="469">
        <v>203.6</v>
      </c>
      <c r="F28" s="352">
        <f t="shared" si="21"/>
        <v>0.10805500982318271</v>
      </c>
      <c r="G28" s="352">
        <f t="shared" si="22"/>
        <v>0.18123772102161101</v>
      </c>
      <c r="H28" s="459">
        <f t="shared" si="24"/>
        <v>1.6772727272727272</v>
      </c>
      <c r="J28" s="352"/>
      <c r="K28" s="352">
        <f t="shared" ref="K28:M28" si="26">+STDEVA(F27:F29)</f>
        <v>4.6937728644026191E-2</v>
      </c>
      <c r="L28" s="352">
        <f t="shared" si="26"/>
        <v>6.6054986608057642E-2</v>
      </c>
      <c r="M28" s="352">
        <f t="shared" si="26"/>
        <v>6.2973540226805347E-2</v>
      </c>
      <c r="N28" s="456" t="s">
        <v>1</v>
      </c>
      <c r="O28" s="352">
        <v>2</v>
      </c>
      <c r="P28" s="352"/>
      <c r="Q28" s="352">
        <v>5.99</v>
      </c>
      <c r="R28" s="352">
        <f t="shared" si="20"/>
        <v>1.7900914121273581</v>
      </c>
    </row>
    <row r="29" spans="1:19" ht="15.75" customHeight="1" x14ac:dyDescent="0.25">
      <c r="A29" s="456" t="s">
        <v>1</v>
      </c>
      <c r="B29" s="352">
        <v>2</v>
      </c>
      <c r="C29" s="465">
        <v>18</v>
      </c>
      <c r="D29" s="352">
        <v>29.6</v>
      </c>
      <c r="E29" s="352">
        <v>150.9</v>
      </c>
      <c r="F29" s="352">
        <f t="shared" si="21"/>
        <v>0.11928429423459244</v>
      </c>
      <c r="G29" s="352">
        <f t="shared" si="22"/>
        <v>0.19615639496355203</v>
      </c>
      <c r="H29" s="459">
        <f t="shared" si="24"/>
        <v>1.6444444444444446</v>
      </c>
      <c r="J29" s="352">
        <v>1.73</v>
      </c>
      <c r="K29" s="352">
        <f>+K28/J29</f>
        <v>2.71316350543504E-2</v>
      </c>
      <c r="L29" s="352">
        <f t="shared" ref="L29:M29" si="27">+L28/1.73</f>
        <v>3.818207318384835E-2</v>
      </c>
      <c r="M29" s="352">
        <f t="shared" si="27"/>
        <v>3.6400890304511761E-2</v>
      </c>
      <c r="N29" s="456" t="s">
        <v>1</v>
      </c>
      <c r="O29" s="352">
        <v>2</v>
      </c>
      <c r="P29" s="352"/>
      <c r="Q29" s="352">
        <v>0.95</v>
      </c>
      <c r="R29" s="352">
        <f t="shared" si="20"/>
        <v>-5.1293294387550578E-2</v>
      </c>
    </row>
    <row r="30" spans="1:19" ht="15.75" customHeight="1" x14ac:dyDescent="0.25">
      <c r="J30" s="352"/>
      <c r="K30" s="352"/>
      <c r="L30" s="352"/>
      <c r="M30" s="352"/>
      <c r="P30" s="352"/>
      <c r="Q30" s="352">
        <v>4.21</v>
      </c>
      <c r="R30" s="352">
        <f t="shared" si="20"/>
        <v>1.43746264769429</v>
      </c>
    </row>
    <row r="31" spans="1:19" ht="15.75" customHeight="1" x14ac:dyDescent="0.25">
      <c r="A31" s="456" t="s">
        <v>236</v>
      </c>
      <c r="B31" s="352">
        <v>0</v>
      </c>
      <c r="C31" s="465">
        <v>20</v>
      </c>
      <c r="D31" s="472">
        <v>18.399999999999999</v>
      </c>
      <c r="E31" s="472">
        <v>44.7</v>
      </c>
      <c r="F31" s="352">
        <f t="shared" ref="F31:F38" si="28">C31/E31</f>
        <v>0.44742729306487694</v>
      </c>
      <c r="G31" s="352">
        <f t="shared" ref="G31:G33" si="29">D31/E31</f>
        <v>0.41163310961968674</v>
      </c>
      <c r="H31" s="459">
        <f t="shared" ref="H31:H32" si="30">G31/F31</f>
        <v>0.91999999999999993</v>
      </c>
      <c r="J31" s="352"/>
      <c r="K31" s="352">
        <f>AVERAGE(F31:F34)</f>
        <v>0.3083058217959318</v>
      </c>
      <c r="L31" s="352">
        <f t="shared" ref="L31:M31" si="31">+AVERAGE(G31:G33)</f>
        <v>0.56205270594889978</v>
      </c>
      <c r="M31" s="352">
        <f t="shared" si="31"/>
        <v>1.4705555555555554</v>
      </c>
      <c r="N31" s="456" t="s">
        <v>236</v>
      </c>
      <c r="O31" s="352">
        <v>0</v>
      </c>
      <c r="P31" s="352"/>
      <c r="Q31" s="352">
        <v>0.94</v>
      </c>
      <c r="R31" s="352">
        <f t="shared" si="20"/>
        <v>-6.1875403718087529E-2</v>
      </c>
    </row>
    <row r="32" spans="1:19" ht="15.75" customHeight="1" x14ac:dyDescent="0.25">
      <c r="A32" s="456" t="s">
        <v>236</v>
      </c>
      <c r="B32" s="352">
        <v>0</v>
      </c>
      <c r="C32" s="465">
        <v>12</v>
      </c>
      <c r="D32" s="458">
        <v>17.899999999999999</v>
      </c>
      <c r="E32" s="458">
        <v>46.3</v>
      </c>
      <c r="F32" s="352">
        <f t="shared" si="28"/>
        <v>0.25917926565874733</v>
      </c>
      <c r="G32" s="352">
        <f t="shared" si="29"/>
        <v>0.38660907127429806</v>
      </c>
      <c r="H32" s="459">
        <f t="shared" si="30"/>
        <v>1.4916666666666665</v>
      </c>
      <c r="J32" s="352"/>
      <c r="K32" s="352">
        <f>+STDEVA(F31:F34)</f>
        <v>9.3788922409480127E-2</v>
      </c>
      <c r="L32" s="352">
        <f t="shared" ref="L32:M32" si="32">+STDEVA(G31:G33)</f>
        <v>0.28248306960588287</v>
      </c>
      <c r="M32" s="352">
        <f t="shared" si="32"/>
        <v>0.54030941067064464</v>
      </c>
      <c r="N32" s="456" t="s">
        <v>236</v>
      </c>
      <c r="O32" s="352">
        <v>0</v>
      </c>
      <c r="P32" s="352"/>
      <c r="Q32" s="352">
        <v>0.99</v>
      </c>
      <c r="R32" s="352">
        <f t="shared" si="20"/>
        <v>-1.0050335853501451E-2</v>
      </c>
    </row>
    <row r="33" spans="1:18" ht="15.75" customHeight="1" x14ac:dyDescent="0.25">
      <c r="A33" s="456" t="s">
        <v>236</v>
      </c>
      <c r="B33" s="352">
        <v>0</v>
      </c>
      <c r="C33" s="465">
        <v>16</v>
      </c>
      <c r="D33" s="458">
        <v>50.7</v>
      </c>
      <c r="E33" s="458">
        <v>57.1</v>
      </c>
      <c r="F33" s="352">
        <f t="shared" si="28"/>
        <v>0.28021015761821366</v>
      </c>
      <c r="G33" s="352">
        <f t="shared" si="29"/>
        <v>0.88791593695271454</v>
      </c>
      <c r="H33" s="459">
        <v>2</v>
      </c>
      <c r="J33" s="352"/>
      <c r="K33" s="352">
        <f>+K32/2</f>
        <v>4.6894461204740064E-2</v>
      </c>
      <c r="L33" s="352">
        <f t="shared" ref="L33:M33" si="33">+L32/1.73</f>
        <v>0.16328501133288029</v>
      </c>
      <c r="M33" s="352">
        <f t="shared" si="33"/>
        <v>0.31231757842233793</v>
      </c>
      <c r="N33" s="456" t="s">
        <v>236</v>
      </c>
      <c r="O33" s="352">
        <v>0</v>
      </c>
      <c r="P33" s="352"/>
      <c r="Q33" s="352">
        <v>0.72</v>
      </c>
      <c r="R33" s="352">
        <f t="shared" si="20"/>
        <v>-0.3285040669720361</v>
      </c>
    </row>
    <row r="34" spans="1:18" ht="15.75" customHeight="1" x14ac:dyDescent="0.25">
      <c r="A34" s="456" t="s">
        <v>236</v>
      </c>
      <c r="B34" s="352">
        <v>0</v>
      </c>
      <c r="C34" s="465">
        <v>12</v>
      </c>
      <c r="D34" s="352"/>
      <c r="E34" s="458">
        <v>48.7</v>
      </c>
      <c r="F34" s="352">
        <f t="shared" si="28"/>
        <v>0.24640657084188911</v>
      </c>
      <c r="G34" s="352"/>
      <c r="H34" s="459"/>
      <c r="J34" s="352"/>
      <c r="K34" s="352"/>
      <c r="L34" s="352"/>
      <c r="M34" s="352"/>
      <c r="N34" s="456" t="s">
        <v>236</v>
      </c>
      <c r="O34" s="352">
        <v>0</v>
      </c>
      <c r="P34" s="352"/>
      <c r="Q34" s="352">
        <v>1.01</v>
      </c>
      <c r="R34" s="352">
        <f t="shared" si="20"/>
        <v>9.950330853168092E-3</v>
      </c>
    </row>
    <row r="35" spans="1:18" ht="15.75" customHeight="1" x14ac:dyDescent="0.25">
      <c r="A35" s="456" t="s">
        <v>236</v>
      </c>
      <c r="B35" s="352">
        <v>2</v>
      </c>
      <c r="C35" s="465">
        <v>10</v>
      </c>
      <c r="D35" s="352">
        <v>30.8</v>
      </c>
      <c r="E35" s="352">
        <v>130.9</v>
      </c>
      <c r="F35" s="352">
        <f t="shared" si="28"/>
        <v>7.6394194041252861E-2</v>
      </c>
      <c r="G35" s="352">
        <f t="shared" ref="G35:G38" si="34">D35/E35</f>
        <v>0.23529411764705882</v>
      </c>
      <c r="H35" s="459">
        <f t="shared" ref="H35:H38" si="35">G35/F35</f>
        <v>3.08</v>
      </c>
      <c r="J35" s="352"/>
      <c r="K35" s="352">
        <f t="shared" ref="K35:M35" si="36">+AVERAGE(F35:F38)</f>
        <v>0.19070846198955244</v>
      </c>
      <c r="L35" s="352">
        <f t="shared" si="36"/>
        <v>0.45531728565992208</v>
      </c>
      <c r="M35" s="352">
        <f t="shared" si="36"/>
        <v>2.5843181818181815</v>
      </c>
      <c r="N35" s="456" t="s">
        <v>236</v>
      </c>
      <c r="O35" s="352">
        <v>2</v>
      </c>
      <c r="P35" s="352"/>
      <c r="Q35" s="352"/>
    </row>
    <row r="36" spans="1:18" ht="15.75" customHeight="1" x14ac:dyDescent="0.25">
      <c r="A36" s="456" t="s">
        <v>236</v>
      </c>
      <c r="B36" s="352">
        <v>2</v>
      </c>
      <c r="C36" s="465">
        <v>11</v>
      </c>
      <c r="D36" s="352">
        <v>38.799999999999997</v>
      </c>
      <c r="E36" s="352">
        <v>64.400000000000006</v>
      </c>
      <c r="F36" s="352">
        <f t="shared" si="28"/>
        <v>0.17080745341614906</v>
      </c>
      <c r="G36" s="352">
        <f t="shared" si="34"/>
        <v>0.60248447204968936</v>
      </c>
      <c r="H36" s="459">
        <f t="shared" si="35"/>
        <v>3.5272727272727269</v>
      </c>
      <c r="J36" s="352"/>
      <c r="K36" s="352">
        <f t="shared" ref="K36:M36" si="37">+STDEVA(F35:F38)</f>
        <v>0.13597729495439076</v>
      </c>
      <c r="L36" s="352">
        <f t="shared" si="37"/>
        <v>0.26423428192614978</v>
      </c>
      <c r="M36" s="352">
        <f t="shared" si="37"/>
        <v>0.85325866204370782</v>
      </c>
      <c r="N36" s="456" t="s">
        <v>236</v>
      </c>
      <c r="O36" s="352">
        <v>2</v>
      </c>
      <c r="P36" s="352"/>
      <c r="Q36" s="352"/>
    </row>
    <row r="37" spans="1:18" ht="15.75" customHeight="1" x14ac:dyDescent="0.25">
      <c r="A37" s="456" t="s">
        <v>236</v>
      </c>
      <c r="B37" s="352">
        <v>2</v>
      </c>
      <c r="C37" s="465">
        <v>10</v>
      </c>
      <c r="D37" s="352">
        <v>17.8</v>
      </c>
      <c r="E37" s="352">
        <v>77.3</v>
      </c>
      <c r="F37" s="352">
        <f t="shared" si="28"/>
        <v>0.12936610608020699</v>
      </c>
      <c r="G37" s="352">
        <f t="shared" si="34"/>
        <v>0.23027166882276845</v>
      </c>
      <c r="H37" s="459">
        <f t="shared" si="35"/>
        <v>1.78</v>
      </c>
      <c r="J37" s="352"/>
      <c r="K37" s="352">
        <f t="shared" ref="K37:M37" si="38">+K36/2</f>
        <v>6.798864747719538E-2</v>
      </c>
      <c r="L37" s="352">
        <f t="shared" si="38"/>
        <v>0.13211714096307489</v>
      </c>
      <c r="M37" s="352">
        <f t="shared" si="38"/>
        <v>0.42662933102185391</v>
      </c>
      <c r="N37" s="456" t="s">
        <v>236</v>
      </c>
      <c r="O37" s="352">
        <v>2</v>
      </c>
      <c r="P37" s="352"/>
      <c r="Q37" s="352"/>
    </row>
    <row r="38" spans="1:18" ht="15.75" customHeight="1" x14ac:dyDescent="0.25">
      <c r="A38" s="478" t="s">
        <v>236</v>
      </c>
      <c r="B38" s="479">
        <v>2</v>
      </c>
      <c r="C38" s="465">
        <v>18</v>
      </c>
      <c r="D38" s="479">
        <v>35.1</v>
      </c>
      <c r="E38" s="479">
        <v>46.6</v>
      </c>
      <c r="F38" s="479">
        <f t="shared" si="28"/>
        <v>0.38626609442060084</v>
      </c>
      <c r="G38" s="479">
        <f t="shared" si="34"/>
        <v>0.75321888412017168</v>
      </c>
      <c r="H38" s="480">
        <f t="shared" si="35"/>
        <v>1.9500000000000002</v>
      </c>
      <c r="J38" s="352"/>
      <c r="K38" s="352"/>
      <c r="L38" s="352"/>
      <c r="M38" s="352"/>
      <c r="N38" s="478" t="s">
        <v>236</v>
      </c>
      <c r="O38" s="479">
        <v>2</v>
      </c>
      <c r="P38" s="352"/>
      <c r="Q38" s="352"/>
    </row>
    <row r="39" spans="1:18" ht="15.75" customHeight="1" x14ac:dyDescent="0.25">
      <c r="J39" s="352"/>
      <c r="K39" s="352">
        <f>AVERAGE(H36:H38)</f>
        <v>2.419090909090909</v>
      </c>
      <c r="L39" s="352">
        <f>+STDEVA(H36:H38)</f>
        <v>0.96347039737169482</v>
      </c>
      <c r="M39" s="352">
        <f>L39/1.73</f>
        <v>0.55691930483912999</v>
      </c>
      <c r="N39" s="352"/>
      <c r="O39" s="352"/>
      <c r="P39" s="352"/>
      <c r="Q39" s="352"/>
    </row>
    <row r="40" spans="1:18" ht="15.75" customHeight="1" x14ac:dyDescent="0.25">
      <c r="J40" s="352"/>
      <c r="K40" s="352"/>
      <c r="L40" s="352"/>
      <c r="M40" s="352"/>
      <c r="N40" s="352"/>
      <c r="O40" s="352"/>
      <c r="P40" s="352"/>
      <c r="Q40" s="352"/>
    </row>
    <row r="41" spans="1:18" ht="15.75" customHeight="1" x14ac:dyDescent="0.25">
      <c r="A41" s="452" t="s">
        <v>224</v>
      </c>
      <c r="B41" s="453" t="s">
        <v>123</v>
      </c>
      <c r="C41" s="454" t="s">
        <v>44</v>
      </c>
      <c r="J41" s="352"/>
      <c r="K41" s="352"/>
      <c r="L41" s="352"/>
      <c r="M41" s="352"/>
      <c r="N41" s="352"/>
      <c r="O41" s="352"/>
      <c r="P41" s="352"/>
      <c r="Q41" s="352"/>
    </row>
    <row r="42" spans="1:18" ht="15.75" customHeight="1" x14ac:dyDescent="0.25">
      <c r="A42" s="456" t="s">
        <v>1</v>
      </c>
      <c r="B42" s="352">
        <v>0</v>
      </c>
      <c r="C42" s="459">
        <v>1.1285714285714286</v>
      </c>
      <c r="D42" s="3">
        <f>C42:C44</f>
        <v>1.1285714285714286</v>
      </c>
      <c r="E42" s="3">
        <f>STDEVA(C42:C44)</f>
        <v>0.24322821450842214</v>
      </c>
      <c r="F42" s="3">
        <f>+E42/1.73</f>
        <v>0.14059434364648679</v>
      </c>
      <c r="J42" s="352"/>
      <c r="K42" s="352"/>
      <c r="L42" s="352"/>
      <c r="M42" s="352"/>
      <c r="N42" s="352"/>
      <c r="O42" s="352"/>
      <c r="P42" s="352"/>
      <c r="Q42" s="352"/>
    </row>
    <row r="43" spans="1:18" ht="15.75" customHeight="1" x14ac:dyDescent="0.25">
      <c r="A43" s="456" t="s">
        <v>1</v>
      </c>
      <c r="B43" s="352">
        <v>0</v>
      </c>
      <c r="C43" s="459">
        <v>1.5562499999999997</v>
      </c>
      <c r="J43" s="352"/>
      <c r="K43" s="352"/>
      <c r="L43" s="352"/>
      <c r="M43" s="352"/>
      <c r="N43" s="352"/>
      <c r="O43" s="352"/>
      <c r="P43" s="352"/>
      <c r="Q43" s="352"/>
    </row>
    <row r="44" spans="1:18" ht="15.75" customHeight="1" x14ac:dyDescent="0.25">
      <c r="A44" s="456" t="s">
        <v>1</v>
      </c>
      <c r="B44" s="352">
        <v>0</v>
      </c>
      <c r="C44" s="459">
        <v>1.1416666666666666</v>
      </c>
      <c r="J44" s="352"/>
      <c r="K44" s="352"/>
      <c r="L44" s="352"/>
      <c r="M44" s="352"/>
      <c r="N44" s="352"/>
      <c r="O44" s="352"/>
      <c r="P44" s="352"/>
      <c r="Q44" s="352"/>
    </row>
    <row r="45" spans="1:18" ht="15.75" customHeight="1" x14ac:dyDescent="0.25">
      <c r="A45" s="456" t="s">
        <v>1</v>
      </c>
      <c r="B45" s="352">
        <v>0</v>
      </c>
      <c r="C45" s="459"/>
      <c r="J45" s="352"/>
      <c r="K45" s="352"/>
      <c r="L45" s="352"/>
      <c r="M45" s="352"/>
      <c r="N45" s="352"/>
      <c r="O45" s="352"/>
      <c r="P45" s="352"/>
      <c r="Q45" s="352"/>
    </row>
    <row r="46" spans="1:18" ht="15.75" customHeight="1" x14ac:dyDescent="0.25">
      <c r="A46" s="456" t="s">
        <v>1</v>
      </c>
      <c r="B46" s="352">
        <v>2</v>
      </c>
      <c r="C46" s="459">
        <v>1.5555555555555556</v>
      </c>
      <c r="J46" s="352"/>
      <c r="K46" s="352"/>
      <c r="L46" s="352"/>
      <c r="M46" s="352"/>
      <c r="N46" s="352"/>
      <c r="O46" s="352"/>
      <c r="P46" s="352"/>
      <c r="Q46" s="352"/>
    </row>
    <row r="47" spans="1:18" ht="15.75" customHeight="1" x14ac:dyDescent="0.25">
      <c r="A47" s="456" t="s">
        <v>1</v>
      </c>
      <c r="B47" s="352">
        <v>2</v>
      </c>
      <c r="C47" s="459">
        <v>1.6772727272727272</v>
      </c>
      <c r="J47" s="352"/>
      <c r="K47" s="352"/>
      <c r="L47" s="352"/>
      <c r="M47" s="352"/>
      <c r="N47" s="352"/>
      <c r="O47" s="352"/>
      <c r="P47" s="352"/>
      <c r="Q47" s="352"/>
    </row>
    <row r="48" spans="1:18" ht="15.75" customHeight="1" x14ac:dyDescent="0.25">
      <c r="A48" s="456" t="s">
        <v>1</v>
      </c>
      <c r="B48" s="352">
        <v>2</v>
      </c>
      <c r="C48" s="459">
        <v>1.6444444444444446</v>
      </c>
      <c r="J48" s="352"/>
      <c r="K48" s="352"/>
      <c r="L48" s="352"/>
      <c r="M48" s="352"/>
      <c r="N48" s="352"/>
      <c r="O48" s="352"/>
      <c r="P48" s="352"/>
      <c r="Q48" s="352"/>
    </row>
    <row r="49" spans="1:13" ht="15.75" customHeight="1" x14ac:dyDescent="0.25">
      <c r="K49" s="481"/>
      <c r="M49" s="481"/>
    </row>
    <row r="50" spans="1:13" ht="15.75" customHeight="1" x14ac:dyDescent="0.25">
      <c r="A50" s="456" t="s">
        <v>236</v>
      </c>
      <c r="B50" s="352">
        <v>0</v>
      </c>
      <c r="C50" s="459">
        <v>0.91999999999999993</v>
      </c>
      <c r="K50" s="481"/>
      <c r="M50" s="481"/>
    </row>
    <row r="51" spans="1:13" ht="15.75" customHeight="1" x14ac:dyDescent="0.25">
      <c r="A51" s="456" t="s">
        <v>236</v>
      </c>
      <c r="B51" s="352">
        <v>0</v>
      </c>
      <c r="C51" s="459">
        <v>1.4916666666666665</v>
      </c>
      <c r="K51" s="481"/>
      <c r="M51" s="481"/>
    </row>
    <row r="52" spans="1:13" ht="15.75" customHeight="1" x14ac:dyDescent="0.25">
      <c r="A52" s="456" t="s">
        <v>236</v>
      </c>
      <c r="B52" s="352">
        <v>0</v>
      </c>
      <c r="C52" s="459">
        <v>3.1687500000000002</v>
      </c>
      <c r="K52" s="481"/>
      <c r="M52" s="481"/>
    </row>
    <row r="53" spans="1:13" ht="15.75" customHeight="1" x14ac:dyDescent="0.25">
      <c r="A53" s="456" t="s">
        <v>236</v>
      </c>
      <c r="B53" s="352">
        <v>0</v>
      </c>
      <c r="C53" s="459"/>
      <c r="K53" s="481"/>
      <c r="M53" s="481"/>
    </row>
    <row r="54" spans="1:13" ht="15.75" customHeight="1" x14ac:dyDescent="0.25">
      <c r="A54" s="456" t="s">
        <v>236</v>
      </c>
      <c r="B54" s="352">
        <v>2</v>
      </c>
      <c r="C54" s="459">
        <v>3.08</v>
      </c>
      <c r="K54" s="481"/>
      <c r="M54" s="481"/>
    </row>
    <row r="55" spans="1:13" ht="15.75" customHeight="1" x14ac:dyDescent="0.25">
      <c r="A55" s="456" t="s">
        <v>236</v>
      </c>
      <c r="B55" s="352">
        <v>2</v>
      </c>
      <c r="C55" s="459">
        <v>3.5272727272727269</v>
      </c>
      <c r="K55" s="481"/>
      <c r="M55" s="481"/>
    </row>
    <row r="56" spans="1:13" ht="15.75" customHeight="1" x14ac:dyDescent="0.25">
      <c r="A56" s="456" t="s">
        <v>236</v>
      </c>
      <c r="B56" s="352">
        <v>2</v>
      </c>
      <c r="C56" s="459">
        <v>1.78</v>
      </c>
      <c r="K56" s="481"/>
      <c r="M56" s="481"/>
    </row>
    <row r="57" spans="1:13" ht="15.75" customHeight="1" x14ac:dyDescent="0.25">
      <c r="A57" s="478" t="s">
        <v>236</v>
      </c>
      <c r="B57" s="479">
        <v>2</v>
      </c>
      <c r="C57" s="480">
        <v>1.9500000000000002</v>
      </c>
      <c r="K57" s="481"/>
      <c r="M57" s="481"/>
    </row>
    <row r="58" spans="1:13" ht="15.75" customHeight="1" x14ac:dyDescent="0.25">
      <c r="K58" s="481"/>
      <c r="M58" s="481"/>
    </row>
    <row r="59" spans="1:13" ht="15.75" customHeight="1" x14ac:dyDescent="0.25">
      <c r="K59" s="481"/>
      <c r="M59" s="481"/>
    </row>
    <row r="60" spans="1:13" ht="15.75" customHeight="1" x14ac:dyDescent="0.25">
      <c r="K60" s="481"/>
      <c r="M60" s="481"/>
    </row>
    <row r="61" spans="1:13" ht="15.75" customHeight="1" x14ac:dyDescent="0.25">
      <c r="K61" s="481"/>
      <c r="M61" s="481"/>
    </row>
    <row r="62" spans="1:13" ht="15.75" customHeight="1" x14ac:dyDescent="0.25">
      <c r="K62" s="481"/>
      <c r="M62" s="481"/>
    </row>
    <row r="63" spans="1:13" ht="15.75" customHeight="1" x14ac:dyDescent="0.25">
      <c r="K63" s="481"/>
      <c r="M63" s="481"/>
    </row>
    <row r="64" spans="1:13" ht="15.75" customHeight="1" x14ac:dyDescent="0.25">
      <c r="K64" s="481"/>
      <c r="M64" s="481"/>
    </row>
    <row r="65" spans="11:13" ht="15.75" customHeight="1" x14ac:dyDescent="0.25">
      <c r="K65" s="481"/>
      <c r="M65" s="481"/>
    </row>
    <row r="66" spans="11:13" ht="15.75" customHeight="1" x14ac:dyDescent="0.25">
      <c r="K66" s="481"/>
      <c r="M66" s="481"/>
    </row>
    <row r="67" spans="11:13" ht="15.75" customHeight="1" x14ac:dyDescent="0.25">
      <c r="K67" s="481"/>
      <c r="M67" s="481"/>
    </row>
    <row r="68" spans="11:13" ht="15.75" customHeight="1" x14ac:dyDescent="0.25">
      <c r="K68" s="481"/>
      <c r="M68" s="481"/>
    </row>
    <row r="69" spans="11:13" ht="15.75" customHeight="1" x14ac:dyDescent="0.25">
      <c r="K69" s="481"/>
      <c r="M69" s="481"/>
    </row>
    <row r="70" spans="11:13" ht="15.75" customHeight="1" x14ac:dyDescent="0.25">
      <c r="K70" s="481"/>
      <c r="M70" s="481"/>
    </row>
    <row r="71" spans="11:13" ht="15.75" customHeight="1" x14ac:dyDescent="0.25">
      <c r="K71" s="481"/>
      <c r="M71" s="481"/>
    </row>
    <row r="72" spans="11:13" ht="15.75" customHeight="1" x14ac:dyDescent="0.25">
      <c r="K72" s="481"/>
      <c r="M72" s="481"/>
    </row>
    <row r="73" spans="11:13" ht="15.75" customHeight="1" x14ac:dyDescent="0.25">
      <c r="K73" s="481"/>
      <c r="M73" s="481"/>
    </row>
    <row r="74" spans="11:13" ht="15.75" customHeight="1" x14ac:dyDescent="0.25">
      <c r="K74" s="481"/>
      <c r="M74" s="481"/>
    </row>
    <row r="75" spans="11:13" ht="15.75" customHeight="1" x14ac:dyDescent="0.25">
      <c r="K75" s="481"/>
      <c r="M75" s="481"/>
    </row>
    <row r="76" spans="11:13" ht="15.75" customHeight="1" x14ac:dyDescent="0.25">
      <c r="K76" s="481"/>
      <c r="M76" s="481"/>
    </row>
    <row r="77" spans="11:13" ht="15.75" customHeight="1" x14ac:dyDescent="0.25">
      <c r="K77" s="481"/>
      <c r="M77" s="481"/>
    </row>
    <row r="78" spans="11:13" ht="15.75" customHeight="1" x14ac:dyDescent="0.25">
      <c r="K78" s="481"/>
      <c r="M78" s="481"/>
    </row>
    <row r="79" spans="11:13" ht="15.75" customHeight="1" x14ac:dyDescent="0.25">
      <c r="K79" s="481"/>
      <c r="M79" s="481"/>
    </row>
    <row r="80" spans="11:13" ht="15.75" customHeight="1" x14ac:dyDescent="0.25">
      <c r="K80" s="481"/>
      <c r="M80" s="481"/>
    </row>
    <row r="81" spans="11:13" ht="15.75" customHeight="1" x14ac:dyDescent="0.25">
      <c r="K81" s="481"/>
      <c r="M81" s="481"/>
    </row>
    <row r="82" spans="11:13" ht="15.75" customHeight="1" x14ac:dyDescent="0.25">
      <c r="K82" s="481"/>
      <c r="M82" s="481"/>
    </row>
    <row r="83" spans="11:13" ht="15.75" customHeight="1" x14ac:dyDescent="0.25">
      <c r="K83" s="481"/>
      <c r="M83" s="481"/>
    </row>
    <row r="84" spans="11:13" ht="15.75" customHeight="1" x14ac:dyDescent="0.25">
      <c r="K84" s="481"/>
      <c r="M84" s="481"/>
    </row>
    <row r="85" spans="11:13" ht="15.75" customHeight="1" x14ac:dyDescent="0.25">
      <c r="K85" s="481"/>
      <c r="M85" s="481"/>
    </row>
    <row r="86" spans="11:13" ht="15.75" customHeight="1" x14ac:dyDescent="0.25">
      <c r="K86" s="481"/>
      <c r="M86" s="481"/>
    </row>
    <row r="87" spans="11:13" ht="15.75" customHeight="1" x14ac:dyDescent="0.25">
      <c r="K87" s="481"/>
      <c r="M87" s="481"/>
    </row>
    <row r="88" spans="11:13" ht="15.75" customHeight="1" x14ac:dyDescent="0.25">
      <c r="K88" s="481"/>
      <c r="M88" s="481"/>
    </row>
    <row r="89" spans="11:13" ht="15.75" customHeight="1" x14ac:dyDescent="0.25">
      <c r="K89" s="481"/>
      <c r="M89" s="481"/>
    </row>
    <row r="90" spans="11:13" ht="15.75" customHeight="1" x14ac:dyDescent="0.25">
      <c r="K90" s="481"/>
      <c r="M90" s="481"/>
    </row>
    <row r="91" spans="11:13" ht="15.75" customHeight="1" x14ac:dyDescent="0.25">
      <c r="K91" s="481"/>
      <c r="M91" s="481"/>
    </row>
    <row r="92" spans="11:13" ht="15.75" customHeight="1" x14ac:dyDescent="0.25">
      <c r="K92" s="481"/>
      <c r="M92" s="481"/>
    </row>
    <row r="93" spans="11:13" ht="15.75" customHeight="1" x14ac:dyDescent="0.25">
      <c r="K93" s="481"/>
      <c r="M93" s="481"/>
    </row>
    <row r="94" spans="11:13" ht="15.75" customHeight="1" x14ac:dyDescent="0.25">
      <c r="K94" s="481"/>
      <c r="M94" s="481"/>
    </row>
    <row r="95" spans="11:13" ht="15.75" customHeight="1" x14ac:dyDescent="0.25">
      <c r="K95" s="481"/>
      <c r="M95" s="481"/>
    </row>
    <row r="96" spans="11:13" ht="15.75" customHeight="1" x14ac:dyDescent="0.25">
      <c r="K96" s="481"/>
      <c r="M96" s="481"/>
    </row>
    <row r="97" spans="11:13" ht="15.75" customHeight="1" x14ac:dyDescent="0.25">
      <c r="K97" s="481"/>
      <c r="M97" s="481"/>
    </row>
    <row r="98" spans="11:13" ht="15.75" customHeight="1" x14ac:dyDescent="0.25">
      <c r="K98" s="481"/>
      <c r="M98" s="481"/>
    </row>
    <row r="99" spans="11:13" ht="15.75" customHeight="1" x14ac:dyDescent="0.25">
      <c r="K99" s="481"/>
      <c r="M99" s="481"/>
    </row>
    <row r="100" spans="11:13" ht="15.75" customHeight="1" x14ac:dyDescent="0.25">
      <c r="K100" s="481"/>
      <c r="M100" s="481"/>
    </row>
    <row r="101" spans="11:13" ht="15.75" customHeight="1" x14ac:dyDescent="0.25">
      <c r="K101" s="481"/>
      <c r="M101" s="481"/>
    </row>
    <row r="102" spans="11:13" ht="15.75" customHeight="1" x14ac:dyDescent="0.25">
      <c r="K102" s="481"/>
      <c r="M102" s="481"/>
    </row>
    <row r="103" spans="11:13" ht="15.75" customHeight="1" x14ac:dyDescent="0.25">
      <c r="K103" s="481"/>
      <c r="M103" s="481"/>
    </row>
    <row r="104" spans="11:13" ht="15.75" customHeight="1" x14ac:dyDescent="0.25">
      <c r="K104" s="481"/>
      <c r="M104" s="481"/>
    </row>
    <row r="105" spans="11:13" ht="15.75" customHeight="1" x14ac:dyDescent="0.25">
      <c r="K105" s="481"/>
      <c r="M105" s="481"/>
    </row>
    <row r="106" spans="11:13" ht="15.75" customHeight="1" x14ac:dyDescent="0.25">
      <c r="K106" s="481"/>
      <c r="M106" s="481"/>
    </row>
    <row r="107" spans="11:13" ht="15.75" customHeight="1" x14ac:dyDescent="0.25">
      <c r="K107" s="481"/>
      <c r="M107" s="481"/>
    </row>
    <row r="108" spans="11:13" ht="15.75" customHeight="1" x14ac:dyDescent="0.25">
      <c r="K108" s="481"/>
      <c r="M108" s="481"/>
    </row>
    <row r="109" spans="11:13" ht="15.75" customHeight="1" x14ac:dyDescent="0.25">
      <c r="K109" s="481"/>
      <c r="M109" s="481"/>
    </row>
    <row r="110" spans="11:13" ht="15.75" customHeight="1" x14ac:dyDescent="0.25">
      <c r="K110" s="481"/>
      <c r="M110" s="481"/>
    </row>
    <row r="111" spans="11:13" ht="15.75" customHeight="1" x14ac:dyDescent="0.25">
      <c r="K111" s="481"/>
      <c r="M111" s="481"/>
    </row>
    <row r="112" spans="11:13" ht="15.75" customHeight="1" x14ac:dyDescent="0.25">
      <c r="K112" s="481"/>
      <c r="M112" s="481"/>
    </row>
    <row r="113" spans="11:13" ht="15.75" customHeight="1" x14ac:dyDescent="0.25">
      <c r="K113" s="481"/>
      <c r="M113" s="481"/>
    </row>
    <row r="114" spans="11:13" ht="15.75" customHeight="1" x14ac:dyDescent="0.25">
      <c r="K114" s="481"/>
      <c r="M114" s="481"/>
    </row>
    <row r="115" spans="11:13" ht="15.75" customHeight="1" x14ac:dyDescent="0.25">
      <c r="K115" s="481"/>
      <c r="M115" s="481"/>
    </row>
    <row r="116" spans="11:13" ht="15.75" customHeight="1" x14ac:dyDescent="0.25">
      <c r="K116" s="481"/>
      <c r="M116" s="481"/>
    </row>
    <row r="117" spans="11:13" ht="15.75" customHeight="1" x14ac:dyDescent="0.25">
      <c r="K117" s="481"/>
      <c r="M117" s="481"/>
    </row>
    <row r="118" spans="11:13" ht="15.75" customHeight="1" x14ac:dyDescent="0.25">
      <c r="K118" s="481"/>
      <c r="M118" s="481"/>
    </row>
    <row r="119" spans="11:13" ht="15.75" customHeight="1" x14ac:dyDescent="0.25">
      <c r="K119" s="481"/>
      <c r="M119" s="481"/>
    </row>
    <row r="120" spans="11:13" ht="15.75" customHeight="1" x14ac:dyDescent="0.25">
      <c r="K120" s="481"/>
      <c r="M120" s="481"/>
    </row>
    <row r="121" spans="11:13" ht="15.75" customHeight="1" x14ac:dyDescent="0.25">
      <c r="K121" s="481"/>
      <c r="M121" s="481"/>
    </row>
    <row r="122" spans="11:13" ht="15.75" customHeight="1" x14ac:dyDescent="0.25">
      <c r="K122" s="481"/>
      <c r="M122" s="481"/>
    </row>
    <row r="123" spans="11:13" ht="15.75" customHeight="1" x14ac:dyDescent="0.25">
      <c r="K123" s="481"/>
      <c r="M123" s="481"/>
    </row>
    <row r="124" spans="11:13" ht="15.75" customHeight="1" x14ac:dyDescent="0.25">
      <c r="K124" s="481"/>
      <c r="M124" s="481"/>
    </row>
    <row r="125" spans="11:13" ht="15.75" customHeight="1" x14ac:dyDescent="0.25">
      <c r="K125" s="481"/>
      <c r="M125" s="481"/>
    </row>
    <row r="126" spans="11:13" ht="15.75" customHeight="1" x14ac:dyDescent="0.25">
      <c r="K126" s="481"/>
      <c r="M126" s="481"/>
    </row>
    <row r="127" spans="11:13" ht="15.75" customHeight="1" x14ac:dyDescent="0.25">
      <c r="K127" s="481"/>
      <c r="M127" s="481"/>
    </row>
    <row r="128" spans="11:13" ht="15.75" customHeight="1" x14ac:dyDescent="0.25">
      <c r="K128" s="481"/>
      <c r="M128" s="481"/>
    </row>
    <row r="129" spans="11:13" ht="15.75" customHeight="1" x14ac:dyDescent="0.25">
      <c r="K129" s="481"/>
      <c r="M129" s="481"/>
    </row>
    <row r="130" spans="11:13" ht="15.75" customHeight="1" x14ac:dyDescent="0.25">
      <c r="K130" s="481"/>
      <c r="M130" s="481"/>
    </row>
    <row r="131" spans="11:13" ht="15.75" customHeight="1" x14ac:dyDescent="0.25">
      <c r="K131" s="481"/>
      <c r="M131" s="481"/>
    </row>
    <row r="132" spans="11:13" ht="15.75" customHeight="1" x14ac:dyDescent="0.25">
      <c r="K132" s="481"/>
      <c r="M132" s="481"/>
    </row>
    <row r="133" spans="11:13" ht="15.75" customHeight="1" x14ac:dyDescent="0.25">
      <c r="K133" s="481"/>
      <c r="M133" s="481"/>
    </row>
    <row r="134" spans="11:13" ht="15.75" customHeight="1" x14ac:dyDescent="0.25">
      <c r="K134" s="481"/>
      <c r="M134" s="481"/>
    </row>
    <row r="135" spans="11:13" ht="15.75" customHeight="1" x14ac:dyDescent="0.25">
      <c r="K135" s="481"/>
      <c r="M135" s="481"/>
    </row>
    <row r="136" spans="11:13" ht="15.75" customHeight="1" x14ac:dyDescent="0.25">
      <c r="K136" s="481"/>
      <c r="M136" s="481"/>
    </row>
    <row r="137" spans="11:13" ht="15.75" customHeight="1" x14ac:dyDescent="0.25">
      <c r="K137" s="481"/>
      <c r="M137" s="481"/>
    </row>
    <row r="138" spans="11:13" ht="15.75" customHeight="1" x14ac:dyDescent="0.25">
      <c r="K138" s="481"/>
      <c r="M138" s="481"/>
    </row>
    <row r="139" spans="11:13" ht="15.75" customHeight="1" x14ac:dyDescent="0.25">
      <c r="K139" s="481"/>
      <c r="M139" s="481"/>
    </row>
    <row r="140" spans="11:13" ht="15.75" customHeight="1" x14ac:dyDescent="0.25">
      <c r="K140" s="481"/>
      <c r="M140" s="481"/>
    </row>
    <row r="141" spans="11:13" ht="15.75" customHeight="1" x14ac:dyDescent="0.25">
      <c r="K141" s="481"/>
      <c r="M141" s="481"/>
    </row>
    <row r="142" spans="11:13" ht="15.75" customHeight="1" x14ac:dyDescent="0.25">
      <c r="K142" s="481"/>
      <c r="M142" s="481"/>
    </row>
    <row r="143" spans="11:13" ht="15.75" customHeight="1" x14ac:dyDescent="0.25">
      <c r="K143" s="481"/>
      <c r="M143" s="481"/>
    </row>
    <row r="144" spans="11:13" ht="15.75" customHeight="1" x14ac:dyDescent="0.25">
      <c r="K144" s="481"/>
      <c r="M144" s="481"/>
    </row>
    <row r="145" spans="11:13" ht="15.75" customHeight="1" x14ac:dyDescent="0.25">
      <c r="K145" s="481"/>
      <c r="M145" s="481"/>
    </row>
    <row r="146" spans="11:13" ht="15.75" customHeight="1" x14ac:dyDescent="0.25">
      <c r="K146" s="481"/>
      <c r="M146" s="481"/>
    </row>
    <row r="147" spans="11:13" ht="15.75" customHeight="1" x14ac:dyDescent="0.25">
      <c r="K147" s="481"/>
      <c r="M147" s="481"/>
    </row>
    <row r="148" spans="11:13" ht="15.75" customHeight="1" x14ac:dyDescent="0.25">
      <c r="K148" s="481"/>
      <c r="M148" s="481"/>
    </row>
    <row r="149" spans="11:13" ht="15.75" customHeight="1" x14ac:dyDescent="0.25">
      <c r="K149" s="481"/>
      <c r="M149" s="481"/>
    </row>
    <row r="150" spans="11:13" ht="15.75" customHeight="1" x14ac:dyDescent="0.25">
      <c r="K150" s="481"/>
      <c r="M150" s="481"/>
    </row>
    <row r="151" spans="11:13" ht="15.75" customHeight="1" x14ac:dyDescent="0.25">
      <c r="K151" s="481"/>
      <c r="M151" s="481"/>
    </row>
    <row r="152" spans="11:13" ht="15.75" customHeight="1" x14ac:dyDescent="0.25">
      <c r="K152" s="481"/>
      <c r="M152" s="481"/>
    </row>
    <row r="153" spans="11:13" ht="15.75" customHeight="1" x14ac:dyDescent="0.25">
      <c r="K153" s="481"/>
      <c r="M153" s="481"/>
    </row>
    <row r="154" spans="11:13" ht="15.75" customHeight="1" x14ac:dyDescent="0.25">
      <c r="K154" s="481"/>
      <c r="M154" s="481"/>
    </row>
    <row r="155" spans="11:13" ht="15.75" customHeight="1" x14ac:dyDescent="0.25">
      <c r="K155" s="481"/>
      <c r="M155" s="481"/>
    </row>
    <row r="156" spans="11:13" ht="15.75" customHeight="1" x14ac:dyDescent="0.25">
      <c r="K156" s="481"/>
      <c r="M156" s="481"/>
    </row>
    <row r="157" spans="11:13" ht="15.75" customHeight="1" x14ac:dyDescent="0.25">
      <c r="K157" s="481"/>
      <c r="M157" s="481"/>
    </row>
    <row r="158" spans="11:13" ht="15.75" customHeight="1" x14ac:dyDescent="0.25">
      <c r="K158" s="481"/>
      <c r="M158" s="481"/>
    </row>
    <row r="159" spans="11:13" ht="15.75" customHeight="1" x14ac:dyDescent="0.25">
      <c r="K159" s="481"/>
      <c r="M159" s="481"/>
    </row>
    <row r="160" spans="11:13" ht="15.75" customHeight="1" x14ac:dyDescent="0.25">
      <c r="K160" s="481"/>
      <c r="M160" s="481"/>
    </row>
    <row r="161" spans="11:13" ht="15.75" customHeight="1" x14ac:dyDescent="0.25">
      <c r="K161" s="481"/>
      <c r="M161" s="481"/>
    </row>
    <row r="162" spans="11:13" ht="15.75" customHeight="1" x14ac:dyDescent="0.25">
      <c r="K162" s="481"/>
      <c r="M162" s="481"/>
    </row>
    <row r="163" spans="11:13" ht="15.75" customHeight="1" x14ac:dyDescent="0.25">
      <c r="K163" s="481"/>
      <c r="M163" s="481"/>
    </row>
    <row r="164" spans="11:13" ht="15.75" customHeight="1" x14ac:dyDescent="0.25">
      <c r="K164" s="481"/>
      <c r="M164" s="481"/>
    </row>
    <row r="165" spans="11:13" ht="15.75" customHeight="1" x14ac:dyDescent="0.25">
      <c r="K165" s="481"/>
      <c r="M165" s="481"/>
    </row>
    <row r="166" spans="11:13" ht="15.75" customHeight="1" x14ac:dyDescent="0.25">
      <c r="K166" s="481"/>
      <c r="M166" s="481"/>
    </row>
    <row r="167" spans="11:13" ht="15.75" customHeight="1" x14ac:dyDescent="0.25">
      <c r="K167" s="481"/>
      <c r="M167" s="481"/>
    </row>
    <row r="168" spans="11:13" ht="15.75" customHeight="1" x14ac:dyDescent="0.25">
      <c r="K168" s="481"/>
      <c r="M168" s="481"/>
    </row>
    <row r="169" spans="11:13" ht="15.75" customHeight="1" x14ac:dyDescent="0.25">
      <c r="K169" s="481"/>
      <c r="M169" s="481"/>
    </row>
    <row r="170" spans="11:13" ht="15.75" customHeight="1" x14ac:dyDescent="0.25">
      <c r="K170" s="481"/>
      <c r="M170" s="481"/>
    </row>
    <row r="171" spans="11:13" ht="15.75" customHeight="1" x14ac:dyDescent="0.25">
      <c r="K171" s="481"/>
      <c r="M171" s="481"/>
    </row>
    <row r="172" spans="11:13" ht="15.75" customHeight="1" x14ac:dyDescent="0.25">
      <c r="K172" s="481"/>
      <c r="M172" s="481"/>
    </row>
    <row r="173" spans="11:13" ht="15.75" customHeight="1" x14ac:dyDescent="0.25">
      <c r="K173" s="481"/>
      <c r="M173" s="481"/>
    </row>
    <row r="174" spans="11:13" ht="15.75" customHeight="1" x14ac:dyDescent="0.25">
      <c r="K174" s="481"/>
      <c r="M174" s="481"/>
    </row>
    <row r="175" spans="11:13" ht="15.75" customHeight="1" x14ac:dyDescent="0.25">
      <c r="K175" s="481"/>
      <c r="M175" s="481"/>
    </row>
    <row r="176" spans="11:13" ht="15.75" customHeight="1" x14ac:dyDescent="0.25">
      <c r="K176" s="481"/>
      <c r="M176" s="481"/>
    </row>
    <row r="177" spans="11:13" ht="15.75" customHeight="1" x14ac:dyDescent="0.25">
      <c r="K177" s="481"/>
      <c r="M177" s="481"/>
    </row>
    <row r="178" spans="11:13" ht="15.75" customHeight="1" x14ac:dyDescent="0.25">
      <c r="K178" s="481"/>
      <c r="M178" s="481"/>
    </row>
    <row r="179" spans="11:13" ht="15.75" customHeight="1" x14ac:dyDescent="0.25">
      <c r="K179" s="481"/>
      <c r="M179" s="481"/>
    </row>
    <row r="180" spans="11:13" ht="15.75" customHeight="1" x14ac:dyDescent="0.25">
      <c r="K180" s="481"/>
      <c r="M180" s="481"/>
    </row>
    <row r="181" spans="11:13" ht="15.75" customHeight="1" x14ac:dyDescent="0.25">
      <c r="K181" s="481"/>
      <c r="M181" s="481"/>
    </row>
    <row r="182" spans="11:13" ht="15.75" customHeight="1" x14ac:dyDescent="0.25">
      <c r="K182" s="481"/>
      <c r="M182" s="481"/>
    </row>
    <row r="183" spans="11:13" ht="15.75" customHeight="1" x14ac:dyDescent="0.25">
      <c r="K183" s="481"/>
      <c r="M183" s="481"/>
    </row>
    <row r="184" spans="11:13" ht="15.75" customHeight="1" x14ac:dyDescent="0.25">
      <c r="K184" s="481"/>
      <c r="M184" s="481"/>
    </row>
    <row r="185" spans="11:13" ht="15.75" customHeight="1" x14ac:dyDescent="0.25">
      <c r="K185" s="481"/>
      <c r="M185" s="481"/>
    </row>
    <row r="186" spans="11:13" ht="15.75" customHeight="1" x14ac:dyDescent="0.25">
      <c r="K186" s="481"/>
      <c r="M186" s="481"/>
    </row>
    <row r="187" spans="11:13" ht="15.75" customHeight="1" x14ac:dyDescent="0.25">
      <c r="K187" s="481"/>
      <c r="M187" s="481"/>
    </row>
    <row r="188" spans="11:13" ht="15.75" customHeight="1" x14ac:dyDescent="0.25">
      <c r="K188" s="481"/>
      <c r="M188" s="481"/>
    </row>
    <row r="189" spans="11:13" ht="15.75" customHeight="1" x14ac:dyDescent="0.25">
      <c r="K189" s="481"/>
      <c r="M189" s="481"/>
    </row>
    <row r="190" spans="11:13" ht="15.75" customHeight="1" x14ac:dyDescent="0.25">
      <c r="K190" s="481"/>
      <c r="M190" s="481"/>
    </row>
    <row r="191" spans="11:13" ht="15.75" customHeight="1" x14ac:dyDescent="0.25">
      <c r="K191" s="481"/>
      <c r="M191" s="481"/>
    </row>
    <row r="192" spans="11:13" ht="15.75" customHeight="1" x14ac:dyDescent="0.25">
      <c r="K192" s="481"/>
      <c r="M192" s="481"/>
    </row>
    <row r="193" spans="11:13" ht="15.75" customHeight="1" x14ac:dyDescent="0.25">
      <c r="K193" s="481"/>
      <c r="M193" s="481"/>
    </row>
    <row r="194" spans="11:13" ht="15.75" customHeight="1" x14ac:dyDescent="0.25">
      <c r="K194" s="481"/>
      <c r="M194" s="481"/>
    </row>
    <row r="195" spans="11:13" ht="15.75" customHeight="1" x14ac:dyDescent="0.25">
      <c r="K195" s="481"/>
      <c r="M195" s="481"/>
    </row>
    <row r="196" spans="11:13" ht="15.75" customHeight="1" x14ac:dyDescent="0.25">
      <c r="K196" s="481"/>
      <c r="M196" s="481"/>
    </row>
    <row r="197" spans="11:13" ht="15.75" customHeight="1" x14ac:dyDescent="0.25">
      <c r="K197" s="481"/>
      <c r="M197" s="481"/>
    </row>
    <row r="198" spans="11:13" ht="15.75" customHeight="1" x14ac:dyDescent="0.25">
      <c r="K198" s="481"/>
      <c r="M198" s="481"/>
    </row>
    <row r="199" spans="11:13" ht="15.75" customHeight="1" x14ac:dyDescent="0.25">
      <c r="K199" s="481"/>
      <c r="M199" s="481"/>
    </row>
    <row r="200" spans="11:13" ht="15.75" customHeight="1" x14ac:dyDescent="0.25">
      <c r="K200" s="481"/>
      <c r="M200" s="481"/>
    </row>
    <row r="201" spans="11:13" ht="15.75" customHeight="1" x14ac:dyDescent="0.25">
      <c r="K201" s="481"/>
      <c r="M201" s="481"/>
    </row>
    <row r="202" spans="11:13" ht="15.75" customHeight="1" x14ac:dyDescent="0.25">
      <c r="K202" s="481"/>
      <c r="M202" s="481"/>
    </row>
    <row r="203" spans="11:13" ht="15.75" customHeight="1" x14ac:dyDescent="0.25">
      <c r="K203" s="481"/>
      <c r="M203" s="481"/>
    </row>
    <row r="204" spans="11:13" ht="15.75" customHeight="1" x14ac:dyDescent="0.25">
      <c r="K204" s="481"/>
      <c r="M204" s="481"/>
    </row>
    <row r="205" spans="11:13" ht="15.75" customHeight="1" x14ac:dyDescent="0.25">
      <c r="K205" s="481"/>
      <c r="M205" s="481"/>
    </row>
    <row r="206" spans="11:13" ht="15.75" customHeight="1" x14ac:dyDescent="0.25">
      <c r="K206" s="481"/>
      <c r="M206" s="481"/>
    </row>
    <row r="207" spans="11:13" ht="15.75" customHeight="1" x14ac:dyDescent="0.25">
      <c r="K207" s="481"/>
      <c r="M207" s="481"/>
    </row>
    <row r="208" spans="11:13" ht="15.75" customHeight="1" x14ac:dyDescent="0.25">
      <c r="K208" s="481"/>
      <c r="M208" s="481"/>
    </row>
    <row r="209" spans="11:13" ht="15.75" customHeight="1" x14ac:dyDescent="0.25">
      <c r="K209" s="481"/>
      <c r="M209" s="481"/>
    </row>
    <row r="210" spans="11:13" ht="15.75" customHeight="1" x14ac:dyDescent="0.25">
      <c r="K210" s="481"/>
      <c r="M210" s="481"/>
    </row>
    <row r="211" spans="11:13" ht="15.75" customHeight="1" x14ac:dyDescent="0.25">
      <c r="K211" s="481"/>
      <c r="M211" s="481"/>
    </row>
    <row r="212" spans="11:13" ht="15.75" customHeight="1" x14ac:dyDescent="0.25">
      <c r="K212" s="481"/>
      <c r="M212" s="481"/>
    </row>
    <row r="213" spans="11:13" ht="15.75" customHeight="1" x14ac:dyDescent="0.25">
      <c r="K213" s="481"/>
      <c r="M213" s="481"/>
    </row>
    <row r="214" spans="11:13" ht="15.75" customHeight="1" x14ac:dyDescent="0.25">
      <c r="K214" s="481"/>
      <c r="M214" s="481"/>
    </row>
    <row r="215" spans="11:13" ht="15.75" customHeight="1" x14ac:dyDescent="0.25">
      <c r="K215" s="481"/>
      <c r="M215" s="481"/>
    </row>
    <row r="216" spans="11:13" ht="15.75" customHeight="1" x14ac:dyDescent="0.25">
      <c r="K216" s="481"/>
      <c r="M216" s="481"/>
    </row>
    <row r="217" spans="11:13" ht="15.75" customHeight="1" x14ac:dyDescent="0.25">
      <c r="K217" s="481"/>
      <c r="M217" s="481"/>
    </row>
    <row r="218" spans="11:13" ht="15.75" customHeight="1" x14ac:dyDescent="0.25">
      <c r="K218" s="481"/>
      <c r="M218" s="481"/>
    </row>
    <row r="219" spans="11:13" ht="15.75" customHeight="1" x14ac:dyDescent="0.25">
      <c r="K219" s="481"/>
      <c r="M219" s="481"/>
    </row>
    <row r="220" spans="11:13" ht="15.75" customHeight="1" x14ac:dyDescent="0.25">
      <c r="K220" s="481"/>
      <c r="M220" s="481"/>
    </row>
    <row r="221" spans="11:13" ht="15.75" customHeight="1" x14ac:dyDescent="0.25">
      <c r="K221" s="481"/>
      <c r="M221" s="481"/>
    </row>
    <row r="222" spans="11:13" ht="15.75" customHeight="1" x14ac:dyDescent="0.25">
      <c r="K222" s="481"/>
      <c r="M222" s="481"/>
    </row>
    <row r="223" spans="11:13" ht="15.75" customHeight="1" x14ac:dyDescent="0.25">
      <c r="K223" s="481"/>
      <c r="M223" s="481"/>
    </row>
    <row r="224" spans="11:13" ht="15.75" customHeight="1" x14ac:dyDescent="0.25">
      <c r="K224" s="481"/>
      <c r="M224" s="481"/>
    </row>
    <row r="225" spans="11:13" ht="15.75" customHeight="1" x14ac:dyDescent="0.25">
      <c r="K225" s="481"/>
      <c r="M225" s="481"/>
    </row>
    <row r="226" spans="11:13" ht="15.75" customHeight="1" x14ac:dyDescent="0.25">
      <c r="K226" s="481"/>
      <c r="M226" s="481"/>
    </row>
    <row r="227" spans="11:13" ht="15.75" customHeight="1" x14ac:dyDescent="0.25">
      <c r="K227" s="481"/>
      <c r="M227" s="481"/>
    </row>
    <row r="228" spans="11:13" ht="15.75" customHeight="1" x14ac:dyDescent="0.25">
      <c r="K228" s="481"/>
      <c r="M228" s="481"/>
    </row>
    <row r="229" spans="11:13" ht="15.75" customHeight="1" x14ac:dyDescent="0.25">
      <c r="K229" s="481"/>
      <c r="M229" s="481"/>
    </row>
    <row r="230" spans="11:13" ht="15.75" customHeight="1" x14ac:dyDescent="0.25">
      <c r="K230" s="481"/>
      <c r="M230" s="481"/>
    </row>
    <row r="231" spans="11:13" ht="15.75" customHeight="1" x14ac:dyDescent="0.25">
      <c r="K231" s="481"/>
      <c r="M231" s="481"/>
    </row>
    <row r="232" spans="11:13" ht="15.75" customHeight="1" x14ac:dyDescent="0.25">
      <c r="K232" s="481"/>
      <c r="M232" s="481"/>
    </row>
    <row r="233" spans="11:13" ht="15.75" customHeight="1" x14ac:dyDescent="0.25">
      <c r="K233" s="481"/>
      <c r="M233" s="481"/>
    </row>
    <row r="234" spans="11:13" ht="15.75" customHeight="1" x14ac:dyDescent="0.25">
      <c r="K234" s="481"/>
      <c r="M234" s="481"/>
    </row>
    <row r="235" spans="11:13" ht="15.75" customHeight="1" x14ac:dyDescent="0.25">
      <c r="K235" s="481"/>
      <c r="M235" s="481"/>
    </row>
    <row r="236" spans="11:13" ht="15.75" customHeight="1" x14ac:dyDescent="0.25">
      <c r="K236" s="481"/>
      <c r="M236" s="481"/>
    </row>
    <row r="237" spans="11:13" ht="15.75" customHeight="1" x14ac:dyDescent="0.25">
      <c r="K237" s="481"/>
      <c r="M237" s="481"/>
    </row>
    <row r="238" spans="11:13" ht="15.75" customHeight="1" x14ac:dyDescent="0.25">
      <c r="K238" s="481"/>
      <c r="M238" s="481"/>
    </row>
    <row r="239" spans="11:13" ht="15.75" customHeight="1" x14ac:dyDescent="0.25">
      <c r="K239" s="481"/>
      <c r="M239" s="481"/>
    </row>
    <row r="240" spans="11:13" ht="15.75" customHeight="1" x14ac:dyDescent="0.25">
      <c r="K240" s="481"/>
      <c r="M240" s="481"/>
    </row>
    <row r="241" spans="11:13" ht="15.75" customHeight="1" x14ac:dyDescent="0.25">
      <c r="K241" s="481"/>
      <c r="M241" s="481"/>
    </row>
    <row r="242" spans="11:13" ht="15.75" customHeight="1" x14ac:dyDescent="0.25">
      <c r="K242" s="481"/>
      <c r="M242" s="481"/>
    </row>
    <row r="243" spans="11:13" ht="15.75" customHeight="1" x14ac:dyDescent="0.25">
      <c r="K243" s="481"/>
      <c r="M243" s="481"/>
    </row>
    <row r="244" spans="11:13" ht="15.75" customHeight="1" x14ac:dyDescent="0.25">
      <c r="K244" s="481"/>
      <c r="M244" s="481"/>
    </row>
    <row r="245" spans="11:13" ht="15.75" customHeight="1" x14ac:dyDescent="0.25">
      <c r="K245" s="481"/>
      <c r="M245" s="481"/>
    </row>
    <row r="246" spans="11:13" ht="15.75" customHeight="1" x14ac:dyDescent="0.25">
      <c r="K246" s="481"/>
      <c r="M246" s="481"/>
    </row>
    <row r="247" spans="11:13" ht="15.75" customHeight="1" x14ac:dyDescent="0.25">
      <c r="K247" s="481"/>
      <c r="M247" s="481"/>
    </row>
    <row r="248" spans="11:13" ht="15.75" customHeight="1" x14ac:dyDescent="0.25">
      <c r="K248" s="481"/>
      <c r="M248" s="481"/>
    </row>
    <row r="249" spans="11:13" ht="15.75" customHeight="1" x14ac:dyDescent="0.25">
      <c r="K249" s="481"/>
      <c r="M249" s="481"/>
    </row>
    <row r="250" spans="11:13" ht="15.75" customHeight="1" x14ac:dyDescent="0.25">
      <c r="K250" s="481"/>
      <c r="M250" s="481"/>
    </row>
    <row r="251" spans="11:13" ht="15.75" customHeight="1" x14ac:dyDescent="0.25">
      <c r="K251" s="481"/>
      <c r="M251" s="481"/>
    </row>
    <row r="252" spans="11:13" ht="15.75" customHeight="1" x14ac:dyDescent="0.25">
      <c r="K252" s="481"/>
      <c r="M252" s="481"/>
    </row>
    <row r="253" spans="11:13" ht="15.75" customHeight="1" x14ac:dyDescent="0.25">
      <c r="K253" s="481"/>
      <c r="M253" s="481"/>
    </row>
    <row r="254" spans="11:13" ht="15.75" customHeight="1" x14ac:dyDescent="0.25">
      <c r="K254" s="481"/>
      <c r="M254" s="481"/>
    </row>
    <row r="255" spans="11:13" ht="15.75" customHeight="1" x14ac:dyDescent="0.25">
      <c r="K255" s="481"/>
      <c r="M255" s="481"/>
    </row>
    <row r="256" spans="11:13" ht="15.75" customHeight="1" x14ac:dyDescent="0.25">
      <c r="K256" s="481"/>
      <c r="M256" s="481"/>
    </row>
    <row r="257" spans="11:13" ht="15.75" customHeight="1" x14ac:dyDescent="0.25">
      <c r="K257" s="481"/>
      <c r="M257" s="481"/>
    </row>
    <row r="258" spans="11:13" ht="15.75" customHeight="1" x14ac:dyDescent="0.25">
      <c r="K258" s="481"/>
      <c r="M258" s="481"/>
    </row>
    <row r="259" spans="11:13" ht="15.75" customHeight="1" x14ac:dyDescent="0.25">
      <c r="K259" s="481"/>
      <c r="M259" s="481"/>
    </row>
    <row r="260" spans="11:13" ht="15.75" customHeight="1" x14ac:dyDescent="0.25">
      <c r="K260" s="481"/>
      <c r="M260" s="481"/>
    </row>
    <row r="261" spans="11:13" ht="15.75" customHeight="1" x14ac:dyDescent="0.25">
      <c r="K261" s="481"/>
      <c r="M261" s="481"/>
    </row>
    <row r="262" spans="11:13" ht="15.75" customHeight="1" x14ac:dyDescent="0.25">
      <c r="K262" s="481"/>
      <c r="M262" s="481"/>
    </row>
    <row r="263" spans="11:13" ht="15.75" customHeight="1" x14ac:dyDescent="0.25">
      <c r="K263" s="481"/>
      <c r="M263" s="481"/>
    </row>
    <row r="264" spans="11:13" ht="15.75" customHeight="1" x14ac:dyDescent="0.25">
      <c r="K264" s="481"/>
      <c r="M264" s="481"/>
    </row>
    <row r="265" spans="11:13" ht="15.75" customHeight="1" x14ac:dyDescent="0.25">
      <c r="K265" s="481"/>
      <c r="M265" s="481"/>
    </row>
    <row r="266" spans="11:13" ht="15.75" customHeight="1" x14ac:dyDescent="0.25">
      <c r="K266" s="481"/>
      <c r="M266" s="481"/>
    </row>
    <row r="267" spans="11:13" ht="15.75" customHeight="1" x14ac:dyDescent="0.25">
      <c r="K267" s="481"/>
      <c r="M267" s="481"/>
    </row>
    <row r="268" spans="11:13" ht="15.75" customHeight="1" x14ac:dyDescent="0.25">
      <c r="K268" s="481"/>
      <c r="M268" s="481"/>
    </row>
    <row r="269" spans="11:13" ht="15.75" customHeight="1" x14ac:dyDescent="0.25">
      <c r="K269" s="481"/>
      <c r="M269" s="481"/>
    </row>
    <row r="270" spans="11:13" ht="15.75" customHeight="1" x14ac:dyDescent="0.25">
      <c r="K270" s="481"/>
      <c r="M270" s="481"/>
    </row>
    <row r="271" spans="11:13" ht="15.75" customHeight="1" x14ac:dyDescent="0.25">
      <c r="K271" s="481"/>
      <c r="M271" s="481"/>
    </row>
    <row r="272" spans="11:13" ht="15.75" customHeight="1" x14ac:dyDescent="0.25">
      <c r="K272" s="481"/>
      <c r="M272" s="481"/>
    </row>
    <row r="273" spans="11:13" ht="15.75" customHeight="1" x14ac:dyDescent="0.25">
      <c r="K273" s="481"/>
      <c r="M273" s="481"/>
    </row>
    <row r="274" spans="11:13" ht="15.75" customHeight="1" x14ac:dyDescent="0.25">
      <c r="K274" s="481"/>
      <c r="M274" s="481"/>
    </row>
    <row r="275" spans="11:13" ht="15.75" customHeight="1" x14ac:dyDescent="0.25">
      <c r="K275" s="481"/>
      <c r="M275" s="481"/>
    </row>
    <row r="276" spans="11:13" ht="15.75" customHeight="1" x14ac:dyDescent="0.25">
      <c r="K276" s="481"/>
      <c r="M276" s="481"/>
    </row>
    <row r="277" spans="11:13" ht="15.75" customHeight="1" x14ac:dyDescent="0.25">
      <c r="K277" s="481"/>
      <c r="M277" s="481"/>
    </row>
    <row r="278" spans="11:13" ht="15.75" customHeight="1" x14ac:dyDescent="0.25">
      <c r="K278" s="481"/>
      <c r="M278" s="481"/>
    </row>
    <row r="279" spans="11:13" ht="15.75" customHeight="1" x14ac:dyDescent="0.25">
      <c r="K279" s="481"/>
      <c r="M279" s="481"/>
    </row>
    <row r="280" spans="11:13" ht="15.75" customHeight="1" x14ac:dyDescent="0.25">
      <c r="K280" s="481"/>
      <c r="M280" s="481"/>
    </row>
    <row r="281" spans="11:13" ht="15.75" customHeight="1" x14ac:dyDescent="0.25">
      <c r="K281" s="481"/>
      <c r="M281" s="481"/>
    </row>
    <row r="282" spans="11:13" ht="15.75" customHeight="1" x14ac:dyDescent="0.25">
      <c r="K282" s="481"/>
      <c r="M282" s="481"/>
    </row>
    <row r="283" spans="11:13" ht="15.75" customHeight="1" x14ac:dyDescent="0.25">
      <c r="K283" s="481"/>
      <c r="M283" s="481"/>
    </row>
    <row r="284" spans="11:13" ht="15.75" customHeight="1" x14ac:dyDescent="0.25">
      <c r="K284" s="481"/>
      <c r="M284" s="481"/>
    </row>
    <row r="285" spans="11:13" ht="15.75" customHeight="1" x14ac:dyDescent="0.25">
      <c r="K285" s="481"/>
      <c r="M285" s="481"/>
    </row>
    <row r="286" spans="11:13" ht="15.75" customHeight="1" x14ac:dyDescent="0.25">
      <c r="K286" s="481"/>
      <c r="M286" s="481"/>
    </row>
    <row r="287" spans="11:13" ht="15.75" customHeight="1" x14ac:dyDescent="0.25">
      <c r="K287" s="481"/>
      <c r="M287" s="481"/>
    </row>
    <row r="288" spans="11:13" ht="15.75" customHeight="1" x14ac:dyDescent="0.25">
      <c r="K288" s="481"/>
      <c r="M288" s="481"/>
    </row>
    <row r="289" spans="11:13" ht="15.75" customHeight="1" x14ac:dyDescent="0.25">
      <c r="K289" s="481"/>
      <c r="M289" s="481"/>
    </row>
    <row r="290" spans="11:13" ht="15.75" customHeight="1" x14ac:dyDescent="0.25">
      <c r="K290" s="481"/>
      <c r="M290" s="481"/>
    </row>
    <row r="291" spans="11:13" ht="15.75" customHeight="1" x14ac:dyDescent="0.25">
      <c r="K291" s="481"/>
      <c r="M291" s="481"/>
    </row>
    <row r="292" spans="11:13" ht="15.75" customHeight="1" x14ac:dyDescent="0.25">
      <c r="K292" s="481"/>
      <c r="M292" s="481"/>
    </row>
    <row r="293" spans="11:13" ht="15.75" customHeight="1" x14ac:dyDescent="0.25">
      <c r="K293" s="481"/>
      <c r="M293" s="481"/>
    </row>
    <row r="294" spans="11:13" ht="15.75" customHeight="1" x14ac:dyDescent="0.25">
      <c r="K294" s="481"/>
      <c r="M294" s="481"/>
    </row>
    <row r="295" spans="11:13" ht="15.75" customHeight="1" x14ac:dyDescent="0.25">
      <c r="K295" s="481"/>
      <c r="M295" s="481"/>
    </row>
    <row r="296" spans="11:13" ht="15.75" customHeight="1" x14ac:dyDescent="0.25">
      <c r="K296" s="481"/>
      <c r="M296" s="481"/>
    </row>
    <row r="297" spans="11:13" ht="15.75" customHeight="1" x14ac:dyDescent="0.25">
      <c r="K297" s="481"/>
      <c r="M297" s="481"/>
    </row>
    <row r="298" spans="11:13" ht="15.75" customHeight="1" x14ac:dyDescent="0.25">
      <c r="K298" s="481"/>
      <c r="M298" s="481"/>
    </row>
    <row r="299" spans="11:13" ht="15.75" customHeight="1" x14ac:dyDescent="0.25">
      <c r="K299" s="481"/>
      <c r="M299" s="481"/>
    </row>
    <row r="300" spans="11:13" ht="15.75" customHeight="1" x14ac:dyDescent="0.25">
      <c r="K300" s="481"/>
      <c r="M300" s="481"/>
    </row>
    <row r="301" spans="11:13" ht="15.75" customHeight="1" x14ac:dyDescent="0.25">
      <c r="K301" s="481"/>
      <c r="M301" s="481"/>
    </row>
    <row r="302" spans="11:13" ht="15.75" customHeight="1" x14ac:dyDescent="0.25">
      <c r="K302" s="481"/>
      <c r="M302" s="481"/>
    </row>
    <row r="303" spans="11:13" ht="15.75" customHeight="1" x14ac:dyDescent="0.25">
      <c r="K303" s="481"/>
      <c r="M303" s="481"/>
    </row>
    <row r="304" spans="11:13" ht="15.75" customHeight="1" x14ac:dyDescent="0.25">
      <c r="K304" s="481"/>
      <c r="M304" s="481"/>
    </row>
    <row r="305" spans="11:13" ht="15.75" customHeight="1" x14ac:dyDescent="0.25">
      <c r="K305" s="481"/>
      <c r="M305" s="481"/>
    </row>
    <row r="306" spans="11:13" ht="15.75" customHeight="1" x14ac:dyDescent="0.25">
      <c r="K306" s="481"/>
      <c r="M306" s="481"/>
    </row>
    <row r="307" spans="11:13" ht="15.75" customHeight="1" x14ac:dyDescent="0.25">
      <c r="K307" s="481"/>
      <c r="M307" s="481"/>
    </row>
    <row r="308" spans="11:13" ht="15.75" customHeight="1" x14ac:dyDescent="0.25">
      <c r="K308" s="481"/>
      <c r="M308" s="481"/>
    </row>
    <row r="309" spans="11:13" ht="15.75" customHeight="1" x14ac:dyDescent="0.25">
      <c r="K309" s="481"/>
      <c r="M309" s="481"/>
    </row>
    <row r="310" spans="11:13" ht="15.75" customHeight="1" x14ac:dyDescent="0.25">
      <c r="K310" s="481"/>
      <c r="M310" s="481"/>
    </row>
    <row r="311" spans="11:13" ht="15.75" customHeight="1" x14ac:dyDescent="0.25">
      <c r="K311" s="481"/>
      <c r="M311" s="481"/>
    </row>
    <row r="312" spans="11:13" ht="15.75" customHeight="1" x14ac:dyDescent="0.25">
      <c r="K312" s="481"/>
      <c r="M312" s="481"/>
    </row>
    <row r="313" spans="11:13" ht="15.75" customHeight="1" x14ac:dyDescent="0.25">
      <c r="K313" s="481"/>
      <c r="M313" s="481"/>
    </row>
    <row r="314" spans="11:13" ht="15.75" customHeight="1" x14ac:dyDescent="0.25">
      <c r="K314" s="481"/>
      <c r="M314" s="481"/>
    </row>
    <row r="315" spans="11:13" ht="15.75" customHeight="1" x14ac:dyDescent="0.25">
      <c r="K315" s="481"/>
      <c r="M315" s="481"/>
    </row>
    <row r="316" spans="11:13" ht="15.75" customHeight="1" x14ac:dyDescent="0.25">
      <c r="K316" s="481"/>
      <c r="M316" s="481"/>
    </row>
    <row r="317" spans="11:13" ht="15.75" customHeight="1" x14ac:dyDescent="0.25">
      <c r="K317" s="481"/>
      <c r="M317" s="481"/>
    </row>
    <row r="318" spans="11:13" ht="15.75" customHeight="1" x14ac:dyDescent="0.25">
      <c r="K318" s="481"/>
      <c r="M318" s="481"/>
    </row>
    <row r="319" spans="11:13" ht="15.75" customHeight="1" x14ac:dyDescent="0.25">
      <c r="K319" s="481"/>
      <c r="M319" s="481"/>
    </row>
    <row r="320" spans="11:13" ht="15.75" customHeight="1" x14ac:dyDescent="0.25">
      <c r="K320" s="481"/>
      <c r="M320" s="481"/>
    </row>
    <row r="321" spans="11:13" ht="15.75" customHeight="1" x14ac:dyDescent="0.25">
      <c r="K321" s="481"/>
      <c r="M321" s="481"/>
    </row>
    <row r="322" spans="11:13" ht="15.75" customHeight="1" x14ac:dyDescent="0.25">
      <c r="K322" s="481"/>
      <c r="M322" s="481"/>
    </row>
    <row r="323" spans="11:13" ht="15.75" customHeight="1" x14ac:dyDescent="0.25">
      <c r="K323" s="481"/>
      <c r="M323" s="481"/>
    </row>
    <row r="324" spans="11:13" ht="15.75" customHeight="1" x14ac:dyDescent="0.25">
      <c r="K324" s="481"/>
      <c r="M324" s="481"/>
    </row>
    <row r="325" spans="11:13" ht="15.75" customHeight="1" x14ac:dyDescent="0.25">
      <c r="K325" s="481"/>
      <c r="M325" s="481"/>
    </row>
    <row r="326" spans="11:13" ht="15.75" customHeight="1" x14ac:dyDescent="0.25">
      <c r="K326" s="481"/>
      <c r="M326" s="481"/>
    </row>
    <row r="327" spans="11:13" ht="15.75" customHeight="1" x14ac:dyDescent="0.25">
      <c r="K327" s="481"/>
      <c r="M327" s="481"/>
    </row>
    <row r="328" spans="11:13" ht="15.75" customHeight="1" x14ac:dyDescent="0.25">
      <c r="K328" s="481"/>
      <c r="M328" s="481"/>
    </row>
    <row r="329" spans="11:13" ht="15.75" customHeight="1" x14ac:dyDescent="0.25">
      <c r="K329" s="481"/>
      <c r="M329" s="481"/>
    </row>
    <row r="330" spans="11:13" ht="15.75" customHeight="1" x14ac:dyDescent="0.25">
      <c r="K330" s="481"/>
      <c r="M330" s="481"/>
    </row>
    <row r="331" spans="11:13" ht="15.75" customHeight="1" x14ac:dyDescent="0.25">
      <c r="K331" s="481"/>
      <c r="M331" s="481"/>
    </row>
    <row r="332" spans="11:13" ht="15.75" customHeight="1" x14ac:dyDescent="0.25">
      <c r="K332" s="481"/>
      <c r="M332" s="481"/>
    </row>
    <row r="333" spans="11:13" ht="15.75" customHeight="1" x14ac:dyDescent="0.25">
      <c r="K333" s="481"/>
      <c r="M333" s="481"/>
    </row>
    <row r="334" spans="11:13" ht="15.75" customHeight="1" x14ac:dyDescent="0.25">
      <c r="K334" s="481"/>
      <c r="M334" s="481"/>
    </row>
    <row r="335" spans="11:13" ht="15.75" customHeight="1" x14ac:dyDescent="0.25">
      <c r="K335" s="481"/>
      <c r="M335" s="481"/>
    </row>
    <row r="336" spans="11:13" ht="15.75" customHeight="1" x14ac:dyDescent="0.25">
      <c r="K336" s="481"/>
      <c r="M336" s="481"/>
    </row>
    <row r="337" spans="11:13" ht="15.75" customHeight="1" x14ac:dyDescent="0.25">
      <c r="K337" s="481"/>
      <c r="M337" s="481"/>
    </row>
    <row r="338" spans="11:13" ht="15.75" customHeight="1" x14ac:dyDescent="0.25">
      <c r="K338" s="481"/>
      <c r="M338" s="481"/>
    </row>
    <row r="339" spans="11:13" ht="15.75" customHeight="1" x14ac:dyDescent="0.25">
      <c r="K339" s="481"/>
      <c r="M339" s="481"/>
    </row>
    <row r="340" spans="11:13" ht="15.75" customHeight="1" x14ac:dyDescent="0.25">
      <c r="K340" s="481"/>
      <c r="M340" s="481"/>
    </row>
    <row r="341" spans="11:13" ht="15.75" customHeight="1" x14ac:dyDescent="0.25">
      <c r="K341" s="481"/>
      <c r="M341" s="481"/>
    </row>
    <row r="342" spans="11:13" ht="15.75" customHeight="1" x14ac:dyDescent="0.25">
      <c r="K342" s="481"/>
      <c r="M342" s="481"/>
    </row>
    <row r="343" spans="11:13" ht="15.75" customHeight="1" x14ac:dyDescent="0.25">
      <c r="K343" s="481"/>
      <c r="M343" s="481"/>
    </row>
    <row r="344" spans="11:13" ht="15.75" customHeight="1" x14ac:dyDescent="0.25">
      <c r="K344" s="481"/>
      <c r="M344" s="481"/>
    </row>
    <row r="345" spans="11:13" ht="15.75" customHeight="1" x14ac:dyDescent="0.25">
      <c r="K345" s="481"/>
      <c r="M345" s="481"/>
    </row>
    <row r="346" spans="11:13" ht="15.75" customHeight="1" x14ac:dyDescent="0.25">
      <c r="K346" s="481"/>
      <c r="M346" s="481"/>
    </row>
    <row r="347" spans="11:13" ht="15.75" customHeight="1" x14ac:dyDescent="0.25">
      <c r="K347" s="481"/>
      <c r="M347" s="481"/>
    </row>
    <row r="348" spans="11:13" ht="15.75" customHeight="1" x14ac:dyDescent="0.25">
      <c r="K348" s="481"/>
      <c r="M348" s="481"/>
    </row>
    <row r="349" spans="11:13" ht="15.75" customHeight="1" x14ac:dyDescent="0.25">
      <c r="K349" s="481"/>
      <c r="M349" s="481"/>
    </row>
    <row r="350" spans="11:13" ht="15.75" customHeight="1" x14ac:dyDescent="0.25">
      <c r="K350" s="481"/>
      <c r="M350" s="481"/>
    </row>
    <row r="351" spans="11:13" ht="15.75" customHeight="1" x14ac:dyDescent="0.25">
      <c r="K351" s="481"/>
      <c r="M351" s="481"/>
    </row>
    <row r="352" spans="11:13" ht="15.75" customHeight="1" x14ac:dyDescent="0.25">
      <c r="K352" s="481"/>
      <c r="M352" s="481"/>
    </row>
    <row r="353" spans="11:13" ht="15.75" customHeight="1" x14ac:dyDescent="0.25">
      <c r="K353" s="481"/>
      <c r="M353" s="481"/>
    </row>
    <row r="354" spans="11:13" ht="15.75" customHeight="1" x14ac:dyDescent="0.25">
      <c r="K354" s="481"/>
      <c r="M354" s="481"/>
    </row>
    <row r="355" spans="11:13" ht="15.75" customHeight="1" x14ac:dyDescent="0.25">
      <c r="K355" s="481"/>
      <c r="M355" s="481"/>
    </row>
    <row r="356" spans="11:13" ht="15.75" customHeight="1" x14ac:dyDescent="0.25">
      <c r="K356" s="481"/>
      <c r="M356" s="481"/>
    </row>
    <row r="357" spans="11:13" ht="15.75" customHeight="1" x14ac:dyDescent="0.25">
      <c r="K357" s="481"/>
      <c r="M357" s="481"/>
    </row>
    <row r="358" spans="11:13" ht="15.75" customHeight="1" x14ac:dyDescent="0.25">
      <c r="K358" s="481"/>
      <c r="M358" s="481"/>
    </row>
    <row r="359" spans="11:13" ht="15.75" customHeight="1" x14ac:dyDescent="0.25">
      <c r="K359" s="481"/>
      <c r="M359" s="481"/>
    </row>
    <row r="360" spans="11:13" ht="15.75" customHeight="1" x14ac:dyDescent="0.25">
      <c r="K360" s="481"/>
      <c r="M360" s="481"/>
    </row>
    <row r="361" spans="11:13" ht="15.75" customHeight="1" x14ac:dyDescent="0.25">
      <c r="K361" s="481"/>
      <c r="M361" s="481"/>
    </row>
    <row r="362" spans="11:13" ht="15.75" customHeight="1" x14ac:dyDescent="0.25">
      <c r="K362" s="481"/>
      <c r="M362" s="481"/>
    </row>
    <row r="363" spans="11:13" ht="15.75" customHeight="1" x14ac:dyDescent="0.25">
      <c r="K363" s="481"/>
      <c r="M363" s="481"/>
    </row>
    <row r="364" spans="11:13" ht="15.75" customHeight="1" x14ac:dyDescent="0.25">
      <c r="K364" s="481"/>
      <c r="M364" s="481"/>
    </row>
    <row r="365" spans="11:13" ht="15.75" customHeight="1" x14ac:dyDescent="0.25">
      <c r="K365" s="481"/>
      <c r="M365" s="481"/>
    </row>
    <row r="366" spans="11:13" ht="15.75" customHeight="1" x14ac:dyDescent="0.25">
      <c r="K366" s="481"/>
      <c r="M366" s="481"/>
    </row>
    <row r="367" spans="11:13" ht="15.75" customHeight="1" x14ac:dyDescent="0.25">
      <c r="K367" s="481"/>
      <c r="M367" s="481"/>
    </row>
    <row r="368" spans="11:13" ht="15.75" customHeight="1" x14ac:dyDescent="0.25">
      <c r="K368" s="481"/>
      <c r="M368" s="481"/>
    </row>
    <row r="369" spans="11:13" ht="15.75" customHeight="1" x14ac:dyDescent="0.25">
      <c r="K369" s="481"/>
      <c r="M369" s="481"/>
    </row>
    <row r="370" spans="11:13" ht="15.75" customHeight="1" x14ac:dyDescent="0.25">
      <c r="K370" s="481"/>
      <c r="M370" s="481"/>
    </row>
    <row r="371" spans="11:13" ht="15.75" customHeight="1" x14ac:dyDescent="0.25">
      <c r="K371" s="481"/>
      <c r="M371" s="481"/>
    </row>
    <row r="372" spans="11:13" ht="15.75" customHeight="1" x14ac:dyDescent="0.25">
      <c r="K372" s="481"/>
      <c r="M372" s="481"/>
    </row>
    <row r="373" spans="11:13" ht="15.75" customHeight="1" x14ac:dyDescent="0.25">
      <c r="K373" s="481"/>
      <c r="M373" s="481"/>
    </row>
    <row r="374" spans="11:13" ht="15.75" customHeight="1" x14ac:dyDescent="0.25">
      <c r="K374" s="481"/>
      <c r="M374" s="481"/>
    </row>
    <row r="375" spans="11:13" ht="15.75" customHeight="1" x14ac:dyDescent="0.25">
      <c r="K375" s="481"/>
      <c r="M375" s="481"/>
    </row>
    <row r="376" spans="11:13" ht="15.75" customHeight="1" x14ac:dyDescent="0.25">
      <c r="K376" s="481"/>
      <c r="M376" s="481"/>
    </row>
    <row r="377" spans="11:13" ht="15.75" customHeight="1" x14ac:dyDescent="0.25">
      <c r="K377" s="481"/>
      <c r="M377" s="481"/>
    </row>
    <row r="378" spans="11:13" ht="15.75" customHeight="1" x14ac:dyDescent="0.25">
      <c r="K378" s="481"/>
      <c r="M378" s="481"/>
    </row>
    <row r="379" spans="11:13" ht="15.75" customHeight="1" x14ac:dyDescent="0.25">
      <c r="K379" s="481"/>
      <c r="M379" s="481"/>
    </row>
    <row r="380" spans="11:13" ht="15.75" customHeight="1" x14ac:dyDescent="0.25">
      <c r="K380" s="481"/>
      <c r="M380" s="481"/>
    </row>
    <row r="381" spans="11:13" ht="15.75" customHeight="1" x14ac:dyDescent="0.25">
      <c r="K381" s="481"/>
      <c r="M381" s="481"/>
    </row>
    <row r="382" spans="11:13" ht="15.75" customHeight="1" x14ac:dyDescent="0.25">
      <c r="K382" s="481"/>
      <c r="M382" s="481"/>
    </row>
    <row r="383" spans="11:13" ht="15.75" customHeight="1" x14ac:dyDescent="0.25">
      <c r="K383" s="481"/>
      <c r="M383" s="481"/>
    </row>
    <row r="384" spans="11:13" ht="15.75" customHeight="1" x14ac:dyDescent="0.25">
      <c r="K384" s="481"/>
      <c r="M384" s="481"/>
    </row>
    <row r="385" spans="11:13" ht="15.75" customHeight="1" x14ac:dyDescent="0.25">
      <c r="K385" s="481"/>
      <c r="M385" s="481"/>
    </row>
    <row r="386" spans="11:13" ht="15.75" customHeight="1" x14ac:dyDescent="0.25">
      <c r="K386" s="481"/>
      <c r="M386" s="481"/>
    </row>
    <row r="387" spans="11:13" ht="15.75" customHeight="1" x14ac:dyDescent="0.25">
      <c r="K387" s="481"/>
      <c r="M387" s="481"/>
    </row>
    <row r="388" spans="11:13" ht="15.75" customHeight="1" x14ac:dyDescent="0.25">
      <c r="K388" s="481"/>
      <c r="M388" s="481"/>
    </row>
    <row r="389" spans="11:13" ht="15.75" customHeight="1" x14ac:dyDescent="0.25">
      <c r="K389" s="481"/>
      <c r="M389" s="481"/>
    </row>
    <row r="390" spans="11:13" ht="15.75" customHeight="1" x14ac:dyDescent="0.25">
      <c r="K390" s="481"/>
      <c r="M390" s="481"/>
    </row>
    <row r="391" spans="11:13" ht="15.75" customHeight="1" x14ac:dyDescent="0.25">
      <c r="K391" s="481"/>
      <c r="M391" s="481"/>
    </row>
    <row r="392" spans="11:13" ht="15.75" customHeight="1" x14ac:dyDescent="0.25">
      <c r="K392" s="481"/>
      <c r="M392" s="481"/>
    </row>
    <row r="393" spans="11:13" ht="15.75" customHeight="1" x14ac:dyDescent="0.25">
      <c r="K393" s="481"/>
      <c r="M393" s="481"/>
    </row>
    <row r="394" spans="11:13" ht="15.75" customHeight="1" x14ac:dyDescent="0.25">
      <c r="K394" s="481"/>
      <c r="M394" s="481"/>
    </row>
    <row r="395" spans="11:13" ht="15.75" customHeight="1" x14ac:dyDescent="0.25">
      <c r="K395" s="481"/>
      <c r="M395" s="481"/>
    </row>
    <row r="396" spans="11:13" ht="15.75" customHeight="1" x14ac:dyDescent="0.25">
      <c r="K396" s="481"/>
      <c r="M396" s="481"/>
    </row>
    <row r="397" spans="11:13" ht="15.75" customHeight="1" x14ac:dyDescent="0.25">
      <c r="K397" s="481"/>
      <c r="M397" s="481"/>
    </row>
    <row r="398" spans="11:13" ht="15.75" customHeight="1" x14ac:dyDescent="0.25">
      <c r="K398" s="481"/>
      <c r="M398" s="481"/>
    </row>
    <row r="399" spans="11:13" ht="15.75" customHeight="1" x14ac:dyDescent="0.25">
      <c r="K399" s="481"/>
      <c r="M399" s="481"/>
    </row>
    <row r="400" spans="11:13" ht="15.75" customHeight="1" x14ac:dyDescent="0.25">
      <c r="K400" s="481"/>
      <c r="M400" s="481"/>
    </row>
    <row r="401" spans="11:13" ht="15.75" customHeight="1" x14ac:dyDescent="0.25">
      <c r="K401" s="481"/>
      <c r="M401" s="481"/>
    </row>
    <row r="402" spans="11:13" ht="15.75" customHeight="1" x14ac:dyDescent="0.25">
      <c r="K402" s="481"/>
      <c r="M402" s="481"/>
    </row>
    <row r="403" spans="11:13" ht="15.75" customHeight="1" x14ac:dyDescent="0.25">
      <c r="K403" s="481"/>
      <c r="M403" s="481"/>
    </row>
    <row r="404" spans="11:13" ht="15.75" customHeight="1" x14ac:dyDescent="0.25">
      <c r="K404" s="481"/>
      <c r="M404" s="481"/>
    </row>
    <row r="405" spans="11:13" ht="15.75" customHeight="1" x14ac:dyDescent="0.25">
      <c r="K405" s="481"/>
      <c r="M405" s="481"/>
    </row>
    <row r="406" spans="11:13" ht="15.75" customHeight="1" x14ac:dyDescent="0.25">
      <c r="K406" s="481"/>
      <c r="M406" s="481"/>
    </row>
    <row r="407" spans="11:13" ht="15.75" customHeight="1" x14ac:dyDescent="0.25">
      <c r="K407" s="481"/>
      <c r="M407" s="481"/>
    </row>
    <row r="408" spans="11:13" ht="15.75" customHeight="1" x14ac:dyDescent="0.25">
      <c r="K408" s="481"/>
      <c r="M408" s="481"/>
    </row>
    <row r="409" spans="11:13" ht="15.75" customHeight="1" x14ac:dyDescent="0.25">
      <c r="K409" s="481"/>
      <c r="M409" s="481"/>
    </row>
    <row r="410" spans="11:13" ht="15.75" customHeight="1" x14ac:dyDescent="0.25">
      <c r="K410" s="481"/>
      <c r="M410" s="481"/>
    </row>
    <row r="411" spans="11:13" ht="15.75" customHeight="1" x14ac:dyDescent="0.25">
      <c r="K411" s="481"/>
      <c r="M411" s="481"/>
    </row>
    <row r="412" spans="11:13" ht="15.75" customHeight="1" x14ac:dyDescent="0.25">
      <c r="K412" s="481"/>
      <c r="M412" s="481"/>
    </row>
    <row r="413" spans="11:13" ht="15.75" customHeight="1" x14ac:dyDescent="0.25">
      <c r="K413" s="481"/>
      <c r="M413" s="481"/>
    </row>
    <row r="414" spans="11:13" ht="15.75" customHeight="1" x14ac:dyDescent="0.25">
      <c r="K414" s="481"/>
      <c r="M414" s="481"/>
    </row>
    <row r="415" spans="11:13" ht="15.75" customHeight="1" x14ac:dyDescent="0.25">
      <c r="K415" s="481"/>
      <c r="M415" s="481"/>
    </row>
    <row r="416" spans="11:13" ht="15.75" customHeight="1" x14ac:dyDescent="0.25">
      <c r="K416" s="481"/>
      <c r="M416" s="481"/>
    </row>
    <row r="417" spans="11:13" ht="15.75" customHeight="1" x14ac:dyDescent="0.25">
      <c r="K417" s="481"/>
      <c r="M417" s="481"/>
    </row>
    <row r="418" spans="11:13" ht="15.75" customHeight="1" x14ac:dyDescent="0.25">
      <c r="K418" s="481"/>
      <c r="M418" s="481"/>
    </row>
    <row r="419" spans="11:13" ht="15.75" customHeight="1" x14ac:dyDescent="0.25">
      <c r="K419" s="481"/>
      <c r="M419" s="481"/>
    </row>
    <row r="420" spans="11:13" ht="15.75" customHeight="1" x14ac:dyDescent="0.25">
      <c r="K420" s="481"/>
      <c r="M420" s="481"/>
    </row>
    <row r="421" spans="11:13" ht="15.75" customHeight="1" x14ac:dyDescent="0.25">
      <c r="K421" s="481"/>
      <c r="M421" s="481"/>
    </row>
    <row r="422" spans="11:13" ht="15.75" customHeight="1" x14ac:dyDescent="0.25">
      <c r="K422" s="481"/>
      <c r="M422" s="481"/>
    </row>
    <row r="423" spans="11:13" ht="15.75" customHeight="1" x14ac:dyDescent="0.25">
      <c r="K423" s="481"/>
      <c r="M423" s="481"/>
    </row>
    <row r="424" spans="11:13" ht="15.75" customHeight="1" x14ac:dyDescent="0.25">
      <c r="K424" s="481"/>
      <c r="M424" s="481"/>
    </row>
    <row r="425" spans="11:13" ht="15.75" customHeight="1" x14ac:dyDescent="0.25">
      <c r="K425" s="481"/>
      <c r="M425" s="481"/>
    </row>
    <row r="426" spans="11:13" ht="15.75" customHeight="1" x14ac:dyDescent="0.25">
      <c r="K426" s="481"/>
      <c r="M426" s="481"/>
    </row>
    <row r="427" spans="11:13" ht="15.75" customHeight="1" x14ac:dyDescent="0.25">
      <c r="K427" s="481"/>
      <c r="M427" s="481"/>
    </row>
    <row r="428" spans="11:13" ht="15.75" customHeight="1" x14ac:dyDescent="0.25">
      <c r="K428" s="481"/>
      <c r="M428" s="481"/>
    </row>
    <row r="429" spans="11:13" ht="15.75" customHeight="1" x14ac:dyDescent="0.25">
      <c r="K429" s="481"/>
      <c r="M429" s="481"/>
    </row>
    <row r="430" spans="11:13" ht="15.75" customHeight="1" x14ac:dyDescent="0.25">
      <c r="K430" s="481"/>
      <c r="M430" s="481"/>
    </row>
    <row r="431" spans="11:13" ht="15.75" customHeight="1" x14ac:dyDescent="0.25">
      <c r="K431" s="481"/>
      <c r="M431" s="481"/>
    </row>
    <row r="432" spans="11:13" ht="15.75" customHeight="1" x14ac:dyDescent="0.25">
      <c r="K432" s="481"/>
      <c r="M432" s="481"/>
    </row>
    <row r="433" spans="11:13" ht="15.75" customHeight="1" x14ac:dyDescent="0.25">
      <c r="K433" s="481"/>
      <c r="M433" s="481"/>
    </row>
    <row r="434" spans="11:13" ht="15.75" customHeight="1" x14ac:dyDescent="0.25">
      <c r="K434" s="481"/>
      <c r="M434" s="481"/>
    </row>
    <row r="435" spans="11:13" ht="15.75" customHeight="1" x14ac:dyDescent="0.25">
      <c r="K435" s="481"/>
      <c r="M435" s="481"/>
    </row>
    <row r="436" spans="11:13" ht="15.75" customHeight="1" x14ac:dyDescent="0.25">
      <c r="K436" s="481"/>
      <c r="M436" s="481"/>
    </row>
    <row r="437" spans="11:13" ht="15.75" customHeight="1" x14ac:dyDescent="0.25">
      <c r="K437" s="481"/>
      <c r="M437" s="481"/>
    </row>
    <row r="438" spans="11:13" ht="15.75" customHeight="1" x14ac:dyDescent="0.25">
      <c r="K438" s="481"/>
      <c r="M438" s="481"/>
    </row>
    <row r="439" spans="11:13" ht="15.75" customHeight="1" x14ac:dyDescent="0.25">
      <c r="K439" s="481"/>
      <c r="M439" s="481"/>
    </row>
    <row r="440" spans="11:13" ht="15.75" customHeight="1" x14ac:dyDescent="0.25">
      <c r="K440" s="481"/>
      <c r="M440" s="481"/>
    </row>
    <row r="441" spans="11:13" ht="15.75" customHeight="1" x14ac:dyDescent="0.25">
      <c r="K441" s="481"/>
      <c r="M441" s="481"/>
    </row>
    <row r="442" spans="11:13" ht="15.75" customHeight="1" x14ac:dyDescent="0.25">
      <c r="K442" s="481"/>
      <c r="M442" s="481"/>
    </row>
    <row r="443" spans="11:13" ht="15.75" customHeight="1" x14ac:dyDescent="0.25">
      <c r="K443" s="481"/>
      <c r="M443" s="481"/>
    </row>
    <row r="444" spans="11:13" ht="15.75" customHeight="1" x14ac:dyDescent="0.25">
      <c r="K444" s="481"/>
      <c r="M444" s="481"/>
    </row>
    <row r="445" spans="11:13" ht="15.75" customHeight="1" x14ac:dyDescent="0.25">
      <c r="K445" s="481"/>
      <c r="M445" s="481"/>
    </row>
    <row r="446" spans="11:13" ht="15.75" customHeight="1" x14ac:dyDescent="0.25">
      <c r="K446" s="481"/>
      <c r="M446" s="481"/>
    </row>
    <row r="447" spans="11:13" ht="15.75" customHeight="1" x14ac:dyDescent="0.25">
      <c r="K447" s="481"/>
      <c r="M447" s="481"/>
    </row>
    <row r="448" spans="11:13" ht="15.75" customHeight="1" x14ac:dyDescent="0.25">
      <c r="K448" s="481"/>
      <c r="M448" s="481"/>
    </row>
    <row r="449" spans="11:13" ht="15.75" customHeight="1" x14ac:dyDescent="0.25">
      <c r="K449" s="481"/>
      <c r="M449" s="481"/>
    </row>
    <row r="450" spans="11:13" ht="15.75" customHeight="1" x14ac:dyDescent="0.25">
      <c r="K450" s="481"/>
      <c r="M450" s="481"/>
    </row>
    <row r="451" spans="11:13" ht="15.75" customHeight="1" x14ac:dyDescent="0.25">
      <c r="K451" s="481"/>
      <c r="M451" s="481"/>
    </row>
    <row r="452" spans="11:13" ht="15.75" customHeight="1" x14ac:dyDescent="0.25">
      <c r="K452" s="481"/>
      <c r="M452" s="481"/>
    </row>
    <row r="453" spans="11:13" ht="15.75" customHeight="1" x14ac:dyDescent="0.25">
      <c r="K453" s="481"/>
      <c r="M453" s="481"/>
    </row>
    <row r="454" spans="11:13" ht="15.75" customHeight="1" x14ac:dyDescent="0.25">
      <c r="K454" s="481"/>
      <c r="M454" s="481"/>
    </row>
    <row r="455" spans="11:13" ht="15.75" customHeight="1" x14ac:dyDescent="0.25">
      <c r="K455" s="481"/>
      <c r="M455" s="481"/>
    </row>
    <row r="456" spans="11:13" ht="15.75" customHeight="1" x14ac:dyDescent="0.25">
      <c r="K456" s="481"/>
      <c r="M456" s="481"/>
    </row>
    <row r="457" spans="11:13" ht="15.75" customHeight="1" x14ac:dyDescent="0.25">
      <c r="K457" s="481"/>
      <c r="M457" s="481"/>
    </row>
    <row r="458" spans="11:13" ht="15.75" customHeight="1" x14ac:dyDescent="0.25">
      <c r="K458" s="481"/>
      <c r="M458" s="481"/>
    </row>
    <row r="459" spans="11:13" ht="15.75" customHeight="1" x14ac:dyDescent="0.25">
      <c r="K459" s="481"/>
      <c r="M459" s="481"/>
    </row>
    <row r="460" spans="11:13" ht="15.75" customHeight="1" x14ac:dyDescent="0.25">
      <c r="K460" s="481"/>
      <c r="M460" s="481"/>
    </row>
    <row r="461" spans="11:13" ht="15.75" customHeight="1" x14ac:dyDescent="0.25">
      <c r="K461" s="481"/>
      <c r="M461" s="481"/>
    </row>
    <row r="462" spans="11:13" ht="15.75" customHeight="1" x14ac:dyDescent="0.25">
      <c r="K462" s="481"/>
      <c r="M462" s="481"/>
    </row>
    <row r="463" spans="11:13" ht="15.75" customHeight="1" x14ac:dyDescent="0.25">
      <c r="K463" s="481"/>
      <c r="M463" s="481"/>
    </row>
    <row r="464" spans="11:13" ht="15.75" customHeight="1" x14ac:dyDescent="0.25">
      <c r="K464" s="481"/>
      <c r="M464" s="481"/>
    </row>
    <row r="465" spans="11:13" ht="15.75" customHeight="1" x14ac:dyDescent="0.25">
      <c r="K465" s="481"/>
      <c r="M465" s="481"/>
    </row>
    <row r="466" spans="11:13" ht="15.75" customHeight="1" x14ac:dyDescent="0.25">
      <c r="K466" s="481"/>
      <c r="M466" s="481"/>
    </row>
    <row r="467" spans="11:13" ht="15.75" customHeight="1" x14ac:dyDescent="0.25">
      <c r="K467" s="481"/>
      <c r="M467" s="481"/>
    </row>
    <row r="468" spans="11:13" ht="15.75" customHeight="1" x14ac:dyDescent="0.25">
      <c r="K468" s="481"/>
      <c r="M468" s="481"/>
    </row>
    <row r="469" spans="11:13" ht="15.75" customHeight="1" x14ac:dyDescent="0.25">
      <c r="K469" s="481"/>
      <c r="M469" s="481"/>
    </row>
    <row r="470" spans="11:13" ht="15.75" customHeight="1" x14ac:dyDescent="0.25">
      <c r="K470" s="481"/>
      <c r="M470" s="481"/>
    </row>
    <row r="471" spans="11:13" ht="15.75" customHeight="1" x14ac:dyDescent="0.25">
      <c r="K471" s="481"/>
      <c r="M471" s="481"/>
    </row>
    <row r="472" spans="11:13" ht="15.75" customHeight="1" x14ac:dyDescent="0.25">
      <c r="K472" s="481"/>
      <c r="M472" s="481"/>
    </row>
    <row r="473" spans="11:13" ht="15.75" customHeight="1" x14ac:dyDescent="0.25">
      <c r="K473" s="481"/>
      <c r="M473" s="481"/>
    </row>
    <row r="474" spans="11:13" ht="15.75" customHeight="1" x14ac:dyDescent="0.25">
      <c r="K474" s="481"/>
      <c r="M474" s="481"/>
    </row>
    <row r="475" spans="11:13" ht="15.75" customHeight="1" x14ac:dyDescent="0.25">
      <c r="K475" s="481"/>
      <c r="M475" s="481"/>
    </row>
    <row r="476" spans="11:13" ht="15.75" customHeight="1" x14ac:dyDescent="0.25">
      <c r="K476" s="481"/>
      <c r="M476" s="481"/>
    </row>
    <row r="477" spans="11:13" ht="15.75" customHeight="1" x14ac:dyDescent="0.25">
      <c r="K477" s="481"/>
      <c r="M477" s="481"/>
    </row>
    <row r="478" spans="11:13" ht="15.75" customHeight="1" x14ac:dyDescent="0.25">
      <c r="K478" s="481"/>
      <c r="M478" s="481"/>
    </row>
    <row r="479" spans="11:13" ht="15.75" customHeight="1" x14ac:dyDescent="0.25">
      <c r="K479" s="481"/>
      <c r="M479" s="481"/>
    </row>
    <row r="480" spans="11:13" ht="15.75" customHeight="1" x14ac:dyDescent="0.25">
      <c r="K480" s="481"/>
      <c r="M480" s="481"/>
    </row>
    <row r="481" spans="11:13" ht="15.75" customHeight="1" x14ac:dyDescent="0.25">
      <c r="K481" s="481"/>
      <c r="M481" s="481"/>
    </row>
    <row r="482" spans="11:13" ht="15.75" customHeight="1" x14ac:dyDescent="0.25">
      <c r="K482" s="481"/>
      <c r="M482" s="481"/>
    </row>
    <row r="483" spans="11:13" ht="15.75" customHeight="1" x14ac:dyDescent="0.25">
      <c r="K483" s="481"/>
      <c r="M483" s="481"/>
    </row>
    <row r="484" spans="11:13" ht="15.75" customHeight="1" x14ac:dyDescent="0.25">
      <c r="K484" s="481"/>
      <c r="M484" s="481"/>
    </row>
    <row r="485" spans="11:13" ht="15.75" customHeight="1" x14ac:dyDescent="0.25">
      <c r="K485" s="481"/>
      <c r="M485" s="481"/>
    </row>
    <row r="486" spans="11:13" ht="15.75" customHeight="1" x14ac:dyDescent="0.25">
      <c r="K486" s="481"/>
      <c r="M486" s="481"/>
    </row>
    <row r="487" spans="11:13" ht="15.75" customHeight="1" x14ac:dyDescent="0.25">
      <c r="K487" s="481"/>
      <c r="M487" s="481"/>
    </row>
    <row r="488" spans="11:13" ht="15.75" customHeight="1" x14ac:dyDescent="0.25">
      <c r="K488" s="481"/>
      <c r="M488" s="481"/>
    </row>
    <row r="489" spans="11:13" ht="15.75" customHeight="1" x14ac:dyDescent="0.25">
      <c r="K489" s="481"/>
      <c r="M489" s="481"/>
    </row>
    <row r="490" spans="11:13" ht="15.75" customHeight="1" x14ac:dyDescent="0.25">
      <c r="K490" s="481"/>
      <c r="M490" s="481"/>
    </row>
    <row r="491" spans="11:13" ht="15.75" customHeight="1" x14ac:dyDescent="0.25">
      <c r="K491" s="481"/>
      <c r="M491" s="481"/>
    </row>
    <row r="492" spans="11:13" ht="15.75" customHeight="1" x14ac:dyDescent="0.25">
      <c r="K492" s="481"/>
      <c r="M492" s="481"/>
    </row>
    <row r="493" spans="11:13" ht="15.75" customHeight="1" x14ac:dyDescent="0.25">
      <c r="K493" s="481"/>
      <c r="M493" s="481"/>
    </row>
    <row r="494" spans="11:13" ht="15.75" customHeight="1" x14ac:dyDescent="0.25">
      <c r="K494" s="481"/>
      <c r="M494" s="481"/>
    </row>
    <row r="495" spans="11:13" ht="15.75" customHeight="1" x14ac:dyDescent="0.25">
      <c r="K495" s="481"/>
      <c r="M495" s="481"/>
    </row>
    <row r="496" spans="11:13" ht="15.75" customHeight="1" x14ac:dyDescent="0.25">
      <c r="K496" s="481"/>
      <c r="M496" s="481"/>
    </row>
    <row r="497" spans="11:13" ht="15.75" customHeight="1" x14ac:dyDescent="0.25">
      <c r="K497" s="481"/>
      <c r="M497" s="481"/>
    </row>
    <row r="498" spans="11:13" ht="15.75" customHeight="1" x14ac:dyDescent="0.25">
      <c r="K498" s="481"/>
      <c r="M498" s="481"/>
    </row>
    <row r="499" spans="11:13" ht="15.75" customHeight="1" x14ac:dyDescent="0.25">
      <c r="K499" s="481"/>
      <c r="M499" s="481"/>
    </row>
    <row r="500" spans="11:13" ht="15.75" customHeight="1" x14ac:dyDescent="0.25">
      <c r="K500" s="481"/>
      <c r="M500" s="481"/>
    </row>
    <row r="501" spans="11:13" ht="15.75" customHeight="1" x14ac:dyDescent="0.25">
      <c r="K501" s="481"/>
      <c r="M501" s="481"/>
    </row>
    <row r="502" spans="11:13" ht="15.75" customHeight="1" x14ac:dyDescent="0.25">
      <c r="K502" s="481"/>
      <c r="M502" s="481"/>
    </row>
    <row r="503" spans="11:13" ht="15.75" customHeight="1" x14ac:dyDescent="0.25">
      <c r="K503" s="481"/>
      <c r="M503" s="481"/>
    </row>
    <row r="504" spans="11:13" ht="15.75" customHeight="1" x14ac:dyDescent="0.25">
      <c r="K504" s="481"/>
      <c r="M504" s="481"/>
    </row>
    <row r="505" spans="11:13" ht="15.75" customHeight="1" x14ac:dyDescent="0.25">
      <c r="K505" s="481"/>
      <c r="M505" s="481"/>
    </row>
    <row r="506" spans="11:13" ht="15.75" customHeight="1" x14ac:dyDescent="0.25">
      <c r="K506" s="481"/>
      <c r="M506" s="481"/>
    </row>
    <row r="507" spans="11:13" ht="15.75" customHeight="1" x14ac:dyDescent="0.25">
      <c r="K507" s="481"/>
      <c r="M507" s="481"/>
    </row>
    <row r="508" spans="11:13" ht="15.75" customHeight="1" x14ac:dyDescent="0.25">
      <c r="K508" s="481"/>
      <c r="M508" s="481"/>
    </row>
    <row r="509" spans="11:13" ht="15.75" customHeight="1" x14ac:dyDescent="0.25">
      <c r="K509" s="481"/>
      <c r="M509" s="481"/>
    </row>
    <row r="510" spans="11:13" ht="15.75" customHeight="1" x14ac:dyDescent="0.25">
      <c r="K510" s="481"/>
      <c r="M510" s="481"/>
    </row>
    <row r="511" spans="11:13" ht="15.75" customHeight="1" x14ac:dyDescent="0.25">
      <c r="K511" s="481"/>
      <c r="M511" s="481"/>
    </row>
    <row r="512" spans="11:13" ht="15.75" customHeight="1" x14ac:dyDescent="0.25">
      <c r="K512" s="481"/>
      <c r="M512" s="481"/>
    </row>
    <row r="513" spans="11:13" ht="15.75" customHeight="1" x14ac:dyDescent="0.25">
      <c r="K513" s="481"/>
      <c r="M513" s="481"/>
    </row>
    <row r="514" spans="11:13" ht="15.75" customHeight="1" x14ac:dyDescent="0.25">
      <c r="K514" s="481"/>
      <c r="M514" s="481"/>
    </row>
    <row r="515" spans="11:13" ht="15.75" customHeight="1" x14ac:dyDescent="0.25">
      <c r="K515" s="481"/>
      <c r="M515" s="481"/>
    </row>
    <row r="516" spans="11:13" ht="15.75" customHeight="1" x14ac:dyDescent="0.25">
      <c r="K516" s="481"/>
      <c r="M516" s="481"/>
    </row>
    <row r="517" spans="11:13" ht="15.75" customHeight="1" x14ac:dyDescent="0.25">
      <c r="K517" s="481"/>
      <c r="M517" s="481"/>
    </row>
    <row r="518" spans="11:13" ht="15.75" customHeight="1" x14ac:dyDescent="0.25">
      <c r="K518" s="481"/>
      <c r="M518" s="481"/>
    </row>
    <row r="519" spans="11:13" ht="15.75" customHeight="1" x14ac:dyDescent="0.25">
      <c r="K519" s="481"/>
      <c r="M519" s="481"/>
    </row>
    <row r="520" spans="11:13" ht="15.75" customHeight="1" x14ac:dyDescent="0.25">
      <c r="K520" s="481"/>
      <c r="M520" s="481"/>
    </row>
    <row r="521" spans="11:13" ht="15.75" customHeight="1" x14ac:dyDescent="0.25">
      <c r="K521" s="481"/>
      <c r="M521" s="481"/>
    </row>
    <row r="522" spans="11:13" ht="15.75" customHeight="1" x14ac:dyDescent="0.25">
      <c r="K522" s="481"/>
      <c r="M522" s="481"/>
    </row>
    <row r="523" spans="11:13" ht="15.75" customHeight="1" x14ac:dyDescent="0.25">
      <c r="K523" s="481"/>
      <c r="M523" s="481"/>
    </row>
    <row r="524" spans="11:13" ht="15.75" customHeight="1" x14ac:dyDescent="0.25">
      <c r="K524" s="481"/>
      <c r="M524" s="481"/>
    </row>
    <row r="525" spans="11:13" ht="15.75" customHeight="1" x14ac:dyDescent="0.25">
      <c r="K525" s="481"/>
      <c r="M525" s="481"/>
    </row>
    <row r="526" spans="11:13" ht="15.75" customHeight="1" x14ac:dyDescent="0.25">
      <c r="K526" s="481"/>
      <c r="M526" s="481"/>
    </row>
    <row r="527" spans="11:13" ht="15.75" customHeight="1" x14ac:dyDescent="0.25">
      <c r="K527" s="481"/>
      <c r="M527" s="481"/>
    </row>
    <row r="528" spans="11:13" ht="15.75" customHeight="1" x14ac:dyDescent="0.25">
      <c r="K528" s="481"/>
      <c r="M528" s="481"/>
    </row>
    <row r="529" spans="11:13" ht="15.75" customHeight="1" x14ac:dyDescent="0.25">
      <c r="K529" s="481"/>
      <c r="M529" s="481"/>
    </row>
    <row r="530" spans="11:13" ht="15.75" customHeight="1" x14ac:dyDescent="0.25">
      <c r="K530" s="481"/>
      <c r="M530" s="481"/>
    </row>
    <row r="531" spans="11:13" ht="15.75" customHeight="1" x14ac:dyDescent="0.25">
      <c r="K531" s="481"/>
      <c r="M531" s="481"/>
    </row>
    <row r="532" spans="11:13" ht="15.75" customHeight="1" x14ac:dyDescent="0.25">
      <c r="K532" s="481"/>
      <c r="M532" s="481"/>
    </row>
    <row r="533" spans="11:13" ht="15.75" customHeight="1" x14ac:dyDescent="0.25">
      <c r="K533" s="481"/>
      <c r="M533" s="481"/>
    </row>
    <row r="534" spans="11:13" ht="15.75" customHeight="1" x14ac:dyDescent="0.25">
      <c r="K534" s="481"/>
      <c r="M534" s="481"/>
    </row>
    <row r="535" spans="11:13" ht="15.75" customHeight="1" x14ac:dyDescent="0.25">
      <c r="K535" s="481"/>
      <c r="M535" s="481"/>
    </row>
    <row r="536" spans="11:13" ht="15.75" customHeight="1" x14ac:dyDescent="0.25">
      <c r="K536" s="481"/>
      <c r="M536" s="481"/>
    </row>
    <row r="537" spans="11:13" ht="15.75" customHeight="1" x14ac:dyDescent="0.25">
      <c r="K537" s="481"/>
      <c r="M537" s="481"/>
    </row>
    <row r="538" spans="11:13" ht="15.75" customHeight="1" x14ac:dyDescent="0.25">
      <c r="K538" s="481"/>
      <c r="M538" s="481"/>
    </row>
    <row r="539" spans="11:13" ht="15.75" customHeight="1" x14ac:dyDescent="0.25">
      <c r="K539" s="481"/>
      <c r="M539" s="481"/>
    </row>
    <row r="540" spans="11:13" ht="15.75" customHeight="1" x14ac:dyDescent="0.25">
      <c r="K540" s="481"/>
      <c r="M540" s="481"/>
    </row>
    <row r="541" spans="11:13" ht="15.75" customHeight="1" x14ac:dyDescent="0.25">
      <c r="K541" s="481"/>
      <c r="M541" s="481"/>
    </row>
    <row r="542" spans="11:13" ht="15.75" customHeight="1" x14ac:dyDescent="0.25">
      <c r="K542" s="481"/>
      <c r="M542" s="481"/>
    </row>
    <row r="543" spans="11:13" ht="15.75" customHeight="1" x14ac:dyDescent="0.25">
      <c r="K543" s="481"/>
      <c r="M543" s="481"/>
    </row>
    <row r="544" spans="11:13" ht="15.75" customHeight="1" x14ac:dyDescent="0.25">
      <c r="K544" s="481"/>
      <c r="M544" s="481"/>
    </row>
    <row r="545" spans="11:13" ht="15.75" customHeight="1" x14ac:dyDescent="0.25">
      <c r="K545" s="481"/>
      <c r="M545" s="481"/>
    </row>
    <row r="546" spans="11:13" ht="15.75" customHeight="1" x14ac:dyDescent="0.25">
      <c r="K546" s="481"/>
      <c r="M546" s="481"/>
    </row>
    <row r="547" spans="11:13" ht="15.75" customHeight="1" x14ac:dyDescent="0.25">
      <c r="K547" s="481"/>
      <c r="M547" s="481"/>
    </row>
    <row r="548" spans="11:13" ht="15.75" customHeight="1" x14ac:dyDescent="0.25">
      <c r="K548" s="481"/>
      <c r="M548" s="481"/>
    </row>
    <row r="549" spans="11:13" ht="15.75" customHeight="1" x14ac:dyDescent="0.25">
      <c r="K549" s="481"/>
      <c r="M549" s="481"/>
    </row>
    <row r="550" spans="11:13" ht="15.75" customHeight="1" x14ac:dyDescent="0.25">
      <c r="K550" s="481"/>
      <c r="M550" s="481"/>
    </row>
    <row r="551" spans="11:13" ht="15.75" customHeight="1" x14ac:dyDescent="0.25">
      <c r="K551" s="481"/>
      <c r="M551" s="481"/>
    </row>
    <row r="552" spans="11:13" ht="15.75" customHeight="1" x14ac:dyDescent="0.25">
      <c r="K552" s="481"/>
      <c r="M552" s="481"/>
    </row>
    <row r="553" spans="11:13" ht="15.75" customHeight="1" x14ac:dyDescent="0.25">
      <c r="K553" s="481"/>
      <c r="M553" s="481"/>
    </row>
    <row r="554" spans="11:13" ht="15.75" customHeight="1" x14ac:dyDescent="0.25">
      <c r="K554" s="481"/>
      <c r="M554" s="481"/>
    </row>
    <row r="555" spans="11:13" ht="15.75" customHeight="1" x14ac:dyDescent="0.25">
      <c r="K555" s="481"/>
      <c r="M555" s="481"/>
    </row>
    <row r="556" spans="11:13" ht="15.75" customHeight="1" x14ac:dyDescent="0.25">
      <c r="K556" s="481"/>
      <c r="M556" s="481"/>
    </row>
    <row r="557" spans="11:13" ht="15.75" customHeight="1" x14ac:dyDescent="0.25">
      <c r="K557" s="481"/>
      <c r="M557" s="481"/>
    </row>
    <row r="558" spans="11:13" ht="15.75" customHeight="1" x14ac:dyDescent="0.25">
      <c r="K558" s="481"/>
      <c r="M558" s="481"/>
    </row>
    <row r="559" spans="11:13" ht="15.75" customHeight="1" x14ac:dyDescent="0.25">
      <c r="K559" s="481"/>
      <c r="M559" s="481"/>
    </row>
    <row r="560" spans="11:13" ht="15.75" customHeight="1" x14ac:dyDescent="0.25">
      <c r="K560" s="481"/>
      <c r="M560" s="481"/>
    </row>
    <row r="561" spans="11:13" ht="15.75" customHeight="1" x14ac:dyDescent="0.25">
      <c r="K561" s="481"/>
      <c r="M561" s="481"/>
    </row>
    <row r="562" spans="11:13" ht="15.75" customHeight="1" x14ac:dyDescent="0.25">
      <c r="K562" s="481"/>
      <c r="M562" s="481"/>
    </row>
    <row r="563" spans="11:13" ht="15.75" customHeight="1" x14ac:dyDescent="0.25">
      <c r="K563" s="481"/>
      <c r="M563" s="481"/>
    </row>
    <row r="564" spans="11:13" ht="15.75" customHeight="1" x14ac:dyDescent="0.25">
      <c r="K564" s="481"/>
      <c r="M564" s="481"/>
    </row>
    <row r="565" spans="11:13" ht="15.75" customHeight="1" x14ac:dyDescent="0.25">
      <c r="K565" s="481"/>
      <c r="M565" s="481"/>
    </row>
    <row r="566" spans="11:13" ht="15.75" customHeight="1" x14ac:dyDescent="0.25">
      <c r="K566" s="481"/>
      <c r="M566" s="481"/>
    </row>
    <row r="567" spans="11:13" ht="15.75" customHeight="1" x14ac:dyDescent="0.25">
      <c r="K567" s="481"/>
      <c r="M567" s="481"/>
    </row>
    <row r="568" spans="11:13" ht="15.75" customHeight="1" x14ac:dyDescent="0.25">
      <c r="K568" s="481"/>
      <c r="M568" s="481"/>
    </row>
    <row r="569" spans="11:13" ht="15.75" customHeight="1" x14ac:dyDescent="0.25">
      <c r="K569" s="481"/>
      <c r="M569" s="481"/>
    </row>
    <row r="570" spans="11:13" ht="15.75" customHeight="1" x14ac:dyDescent="0.25">
      <c r="K570" s="481"/>
      <c r="M570" s="481"/>
    </row>
    <row r="571" spans="11:13" ht="15.75" customHeight="1" x14ac:dyDescent="0.25">
      <c r="K571" s="481"/>
      <c r="M571" s="481"/>
    </row>
    <row r="572" spans="11:13" ht="15.75" customHeight="1" x14ac:dyDescent="0.25">
      <c r="K572" s="481"/>
      <c r="M572" s="481"/>
    </row>
    <row r="573" spans="11:13" ht="15.75" customHeight="1" x14ac:dyDescent="0.25">
      <c r="K573" s="481"/>
      <c r="M573" s="481"/>
    </row>
    <row r="574" spans="11:13" ht="15.75" customHeight="1" x14ac:dyDescent="0.25">
      <c r="K574" s="481"/>
      <c r="M574" s="481"/>
    </row>
    <row r="575" spans="11:13" ht="15.75" customHeight="1" x14ac:dyDescent="0.25">
      <c r="K575" s="481"/>
      <c r="M575" s="481"/>
    </row>
    <row r="576" spans="11:13" ht="15.75" customHeight="1" x14ac:dyDescent="0.25">
      <c r="K576" s="481"/>
      <c r="M576" s="481"/>
    </row>
    <row r="577" spans="11:13" ht="15.75" customHeight="1" x14ac:dyDescent="0.25">
      <c r="K577" s="481"/>
      <c r="M577" s="481"/>
    </row>
    <row r="578" spans="11:13" ht="15.75" customHeight="1" x14ac:dyDescent="0.25">
      <c r="K578" s="481"/>
      <c r="M578" s="481"/>
    </row>
    <row r="579" spans="11:13" ht="15.75" customHeight="1" x14ac:dyDescent="0.25">
      <c r="K579" s="481"/>
      <c r="M579" s="481"/>
    </row>
    <row r="580" spans="11:13" ht="15.75" customHeight="1" x14ac:dyDescent="0.25">
      <c r="K580" s="481"/>
      <c r="M580" s="481"/>
    </row>
    <row r="581" spans="11:13" ht="15.75" customHeight="1" x14ac:dyDescent="0.25">
      <c r="K581" s="481"/>
      <c r="M581" s="481"/>
    </row>
    <row r="582" spans="11:13" ht="15.75" customHeight="1" x14ac:dyDescent="0.25">
      <c r="K582" s="481"/>
      <c r="M582" s="481"/>
    </row>
    <row r="583" spans="11:13" ht="15.75" customHeight="1" x14ac:dyDescent="0.25">
      <c r="K583" s="481"/>
      <c r="M583" s="481"/>
    </row>
    <row r="584" spans="11:13" ht="15.75" customHeight="1" x14ac:dyDescent="0.25">
      <c r="K584" s="481"/>
      <c r="M584" s="481"/>
    </row>
    <row r="585" spans="11:13" ht="15.75" customHeight="1" x14ac:dyDescent="0.25">
      <c r="K585" s="481"/>
      <c r="M585" s="481"/>
    </row>
    <row r="586" spans="11:13" ht="15.75" customHeight="1" x14ac:dyDescent="0.25">
      <c r="K586" s="481"/>
      <c r="M586" s="481"/>
    </row>
    <row r="587" spans="11:13" ht="15.75" customHeight="1" x14ac:dyDescent="0.25">
      <c r="K587" s="481"/>
      <c r="M587" s="481"/>
    </row>
    <row r="588" spans="11:13" ht="15.75" customHeight="1" x14ac:dyDescent="0.25">
      <c r="K588" s="481"/>
      <c r="M588" s="481"/>
    </row>
    <row r="589" spans="11:13" ht="15.75" customHeight="1" x14ac:dyDescent="0.25">
      <c r="K589" s="481"/>
      <c r="M589" s="481"/>
    </row>
    <row r="590" spans="11:13" ht="15.75" customHeight="1" x14ac:dyDescent="0.25">
      <c r="K590" s="481"/>
      <c r="M590" s="481"/>
    </row>
    <row r="591" spans="11:13" ht="15.75" customHeight="1" x14ac:dyDescent="0.25">
      <c r="K591" s="481"/>
      <c r="M591" s="481"/>
    </row>
    <row r="592" spans="11:13" ht="15.75" customHeight="1" x14ac:dyDescent="0.25">
      <c r="K592" s="481"/>
      <c r="M592" s="481"/>
    </row>
    <row r="593" spans="11:13" ht="15.75" customHeight="1" x14ac:dyDescent="0.25">
      <c r="K593" s="481"/>
      <c r="M593" s="481"/>
    </row>
    <row r="594" spans="11:13" ht="15.75" customHeight="1" x14ac:dyDescent="0.25">
      <c r="K594" s="481"/>
      <c r="M594" s="481"/>
    </row>
    <row r="595" spans="11:13" ht="15.75" customHeight="1" x14ac:dyDescent="0.25">
      <c r="K595" s="481"/>
      <c r="M595" s="481"/>
    </row>
    <row r="596" spans="11:13" ht="15.75" customHeight="1" x14ac:dyDescent="0.25">
      <c r="K596" s="481"/>
      <c r="M596" s="481"/>
    </row>
    <row r="597" spans="11:13" ht="15.75" customHeight="1" x14ac:dyDescent="0.25">
      <c r="K597" s="481"/>
      <c r="M597" s="481"/>
    </row>
    <row r="598" spans="11:13" ht="15.75" customHeight="1" x14ac:dyDescent="0.25">
      <c r="K598" s="481"/>
      <c r="M598" s="481"/>
    </row>
    <row r="599" spans="11:13" ht="15.75" customHeight="1" x14ac:dyDescent="0.25">
      <c r="K599" s="481"/>
      <c r="M599" s="481"/>
    </row>
    <row r="600" spans="11:13" ht="15.75" customHeight="1" x14ac:dyDescent="0.25">
      <c r="K600" s="481"/>
      <c r="M600" s="481"/>
    </row>
    <row r="601" spans="11:13" ht="15.75" customHeight="1" x14ac:dyDescent="0.25">
      <c r="K601" s="481"/>
      <c r="M601" s="481"/>
    </row>
    <row r="602" spans="11:13" ht="15.75" customHeight="1" x14ac:dyDescent="0.25">
      <c r="K602" s="481"/>
      <c r="M602" s="481"/>
    </row>
    <row r="603" spans="11:13" ht="15.75" customHeight="1" x14ac:dyDescent="0.25">
      <c r="K603" s="481"/>
      <c r="M603" s="481"/>
    </row>
    <row r="604" spans="11:13" ht="15.75" customHeight="1" x14ac:dyDescent="0.25">
      <c r="K604" s="481"/>
      <c r="M604" s="481"/>
    </row>
    <row r="605" spans="11:13" ht="15.75" customHeight="1" x14ac:dyDescent="0.25">
      <c r="K605" s="481"/>
      <c r="M605" s="481"/>
    </row>
    <row r="606" spans="11:13" ht="15.75" customHeight="1" x14ac:dyDescent="0.25">
      <c r="K606" s="481"/>
      <c r="M606" s="481"/>
    </row>
    <row r="607" spans="11:13" ht="15.75" customHeight="1" x14ac:dyDescent="0.25">
      <c r="K607" s="481"/>
      <c r="M607" s="481"/>
    </row>
    <row r="608" spans="11:13" ht="15.75" customHeight="1" x14ac:dyDescent="0.25">
      <c r="K608" s="481"/>
      <c r="M608" s="481"/>
    </row>
    <row r="609" spans="11:13" ht="15.75" customHeight="1" x14ac:dyDescent="0.25">
      <c r="K609" s="481"/>
      <c r="M609" s="481"/>
    </row>
    <row r="610" spans="11:13" ht="15.75" customHeight="1" x14ac:dyDescent="0.25">
      <c r="K610" s="481"/>
      <c r="M610" s="481"/>
    </row>
    <row r="611" spans="11:13" ht="15.75" customHeight="1" x14ac:dyDescent="0.25">
      <c r="K611" s="481"/>
      <c r="M611" s="481"/>
    </row>
    <row r="612" spans="11:13" ht="15.75" customHeight="1" x14ac:dyDescent="0.25">
      <c r="K612" s="481"/>
      <c r="M612" s="481"/>
    </row>
    <row r="613" spans="11:13" ht="15.75" customHeight="1" x14ac:dyDescent="0.25">
      <c r="K613" s="481"/>
      <c r="M613" s="481"/>
    </row>
    <row r="614" spans="11:13" ht="15.75" customHeight="1" x14ac:dyDescent="0.25">
      <c r="K614" s="481"/>
      <c r="M614" s="481"/>
    </row>
    <row r="615" spans="11:13" ht="15.75" customHeight="1" x14ac:dyDescent="0.25">
      <c r="K615" s="481"/>
      <c r="M615" s="481"/>
    </row>
    <row r="616" spans="11:13" ht="15.75" customHeight="1" x14ac:dyDescent="0.25">
      <c r="K616" s="481"/>
      <c r="M616" s="481"/>
    </row>
    <row r="617" spans="11:13" ht="15.75" customHeight="1" x14ac:dyDescent="0.25">
      <c r="K617" s="481"/>
      <c r="M617" s="481"/>
    </row>
    <row r="618" spans="11:13" ht="15.75" customHeight="1" x14ac:dyDescent="0.25">
      <c r="K618" s="481"/>
      <c r="M618" s="481"/>
    </row>
    <row r="619" spans="11:13" ht="15.75" customHeight="1" x14ac:dyDescent="0.25">
      <c r="K619" s="481"/>
      <c r="M619" s="481"/>
    </row>
    <row r="620" spans="11:13" ht="15.75" customHeight="1" x14ac:dyDescent="0.25">
      <c r="K620" s="481"/>
      <c r="M620" s="481"/>
    </row>
    <row r="621" spans="11:13" ht="15.75" customHeight="1" x14ac:dyDescent="0.25">
      <c r="K621" s="481"/>
      <c r="M621" s="481"/>
    </row>
    <row r="622" spans="11:13" ht="15.75" customHeight="1" x14ac:dyDescent="0.25">
      <c r="K622" s="481"/>
      <c r="M622" s="481"/>
    </row>
    <row r="623" spans="11:13" ht="15.75" customHeight="1" x14ac:dyDescent="0.25">
      <c r="K623" s="481"/>
      <c r="M623" s="481"/>
    </row>
    <row r="624" spans="11:13" ht="15.75" customHeight="1" x14ac:dyDescent="0.25">
      <c r="K624" s="481"/>
      <c r="M624" s="481"/>
    </row>
    <row r="625" spans="11:13" ht="15.75" customHeight="1" x14ac:dyDescent="0.25">
      <c r="K625" s="481"/>
      <c r="M625" s="481"/>
    </row>
    <row r="626" spans="11:13" ht="15.75" customHeight="1" x14ac:dyDescent="0.25">
      <c r="K626" s="481"/>
      <c r="M626" s="481"/>
    </row>
    <row r="627" spans="11:13" ht="15.75" customHeight="1" x14ac:dyDescent="0.25">
      <c r="K627" s="481"/>
      <c r="M627" s="481"/>
    </row>
    <row r="628" spans="11:13" ht="15.75" customHeight="1" x14ac:dyDescent="0.25">
      <c r="K628" s="481"/>
      <c r="M628" s="481"/>
    </row>
    <row r="629" spans="11:13" ht="15.75" customHeight="1" x14ac:dyDescent="0.25">
      <c r="K629" s="481"/>
      <c r="M629" s="481"/>
    </row>
    <row r="630" spans="11:13" ht="15.75" customHeight="1" x14ac:dyDescent="0.25">
      <c r="K630" s="481"/>
      <c r="M630" s="481"/>
    </row>
    <row r="631" spans="11:13" ht="15.75" customHeight="1" x14ac:dyDescent="0.25">
      <c r="K631" s="481"/>
      <c r="M631" s="481"/>
    </row>
    <row r="632" spans="11:13" ht="15.75" customHeight="1" x14ac:dyDescent="0.25">
      <c r="K632" s="481"/>
      <c r="M632" s="481"/>
    </row>
    <row r="633" spans="11:13" ht="15.75" customHeight="1" x14ac:dyDescent="0.25">
      <c r="K633" s="481"/>
      <c r="M633" s="481"/>
    </row>
    <row r="634" spans="11:13" ht="15.75" customHeight="1" x14ac:dyDescent="0.25">
      <c r="K634" s="481"/>
      <c r="M634" s="481"/>
    </row>
    <row r="635" spans="11:13" ht="15.75" customHeight="1" x14ac:dyDescent="0.25">
      <c r="K635" s="481"/>
      <c r="M635" s="481"/>
    </row>
    <row r="636" spans="11:13" ht="15.75" customHeight="1" x14ac:dyDescent="0.25">
      <c r="K636" s="481"/>
      <c r="M636" s="481"/>
    </row>
    <row r="637" spans="11:13" ht="15.75" customHeight="1" x14ac:dyDescent="0.25">
      <c r="K637" s="481"/>
      <c r="M637" s="481"/>
    </row>
    <row r="638" spans="11:13" ht="15.75" customHeight="1" x14ac:dyDescent="0.25">
      <c r="K638" s="481"/>
      <c r="M638" s="481"/>
    </row>
    <row r="639" spans="11:13" ht="15.75" customHeight="1" x14ac:dyDescent="0.25">
      <c r="K639" s="481"/>
      <c r="M639" s="481"/>
    </row>
    <row r="640" spans="11:13" ht="15.75" customHeight="1" x14ac:dyDescent="0.25">
      <c r="K640" s="481"/>
      <c r="M640" s="481"/>
    </row>
    <row r="641" spans="11:13" ht="15.75" customHeight="1" x14ac:dyDescent="0.25">
      <c r="K641" s="481"/>
      <c r="M641" s="481"/>
    </row>
    <row r="642" spans="11:13" ht="15.75" customHeight="1" x14ac:dyDescent="0.25">
      <c r="K642" s="481"/>
      <c r="M642" s="481"/>
    </row>
    <row r="643" spans="11:13" ht="15.75" customHeight="1" x14ac:dyDescent="0.25">
      <c r="K643" s="481"/>
      <c r="M643" s="481"/>
    </row>
    <row r="644" spans="11:13" ht="15.75" customHeight="1" x14ac:dyDescent="0.25">
      <c r="K644" s="481"/>
      <c r="M644" s="481"/>
    </row>
    <row r="645" spans="11:13" ht="15.75" customHeight="1" x14ac:dyDescent="0.25">
      <c r="K645" s="481"/>
      <c r="M645" s="481"/>
    </row>
    <row r="646" spans="11:13" ht="15.75" customHeight="1" x14ac:dyDescent="0.25">
      <c r="K646" s="481"/>
      <c r="M646" s="481"/>
    </row>
    <row r="647" spans="11:13" ht="15.75" customHeight="1" x14ac:dyDescent="0.25">
      <c r="K647" s="481"/>
      <c r="M647" s="481"/>
    </row>
    <row r="648" spans="11:13" ht="15.75" customHeight="1" x14ac:dyDescent="0.25">
      <c r="K648" s="481"/>
      <c r="M648" s="481"/>
    </row>
    <row r="649" spans="11:13" ht="15.75" customHeight="1" x14ac:dyDescent="0.25">
      <c r="K649" s="481"/>
      <c r="M649" s="481"/>
    </row>
    <row r="650" spans="11:13" ht="15.75" customHeight="1" x14ac:dyDescent="0.25">
      <c r="K650" s="481"/>
      <c r="M650" s="481"/>
    </row>
    <row r="651" spans="11:13" ht="15.75" customHeight="1" x14ac:dyDescent="0.25">
      <c r="K651" s="481"/>
      <c r="M651" s="481"/>
    </row>
    <row r="652" spans="11:13" ht="15.75" customHeight="1" x14ac:dyDescent="0.25">
      <c r="K652" s="481"/>
      <c r="M652" s="481"/>
    </row>
    <row r="653" spans="11:13" ht="15.75" customHeight="1" x14ac:dyDescent="0.25">
      <c r="K653" s="481"/>
      <c r="M653" s="481"/>
    </row>
    <row r="654" spans="11:13" ht="15.75" customHeight="1" x14ac:dyDescent="0.25">
      <c r="K654" s="481"/>
      <c r="M654" s="481"/>
    </row>
    <row r="655" spans="11:13" ht="15.75" customHeight="1" x14ac:dyDescent="0.25">
      <c r="K655" s="481"/>
      <c r="M655" s="481"/>
    </row>
    <row r="656" spans="11:13" ht="15.75" customHeight="1" x14ac:dyDescent="0.25">
      <c r="K656" s="481"/>
      <c r="M656" s="481"/>
    </row>
    <row r="657" spans="11:13" ht="15.75" customHeight="1" x14ac:dyDescent="0.25">
      <c r="K657" s="481"/>
      <c r="M657" s="481"/>
    </row>
    <row r="658" spans="11:13" ht="15.75" customHeight="1" x14ac:dyDescent="0.25">
      <c r="K658" s="481"/>
      <c r="M658" s="481"/>
    </row>
    <row r="659" spans="11:13" ht="15.75" customHeight="1" x14ac:dyDescent="0.25">
      <c r="K659" s="481"/>
      <c r="M659" s="481"/>
    </row>
    <row r="660" spans="11:13" ht="15.75" customHeight="1" x14ac:dyDescent="0.25">
      <c r="K660" s="481"/>
      <c r="M660" s="481"/>
    </row>
    <row r="661" spans="11:13" ht="15.75" customHeight="1" x14ac:dyDescent="0.25">
      <c r="K661" s="481"/>
      <c r="M661" s="481"/>
    </row>
    <row r="662" spans="11:13" ht="15.75" customHeight="1" x14ac:dyDescent="0.25">
      <c r="K662" s="481"/>
      <c r="M662" s="481"/>
    </row>
    <row r="663" spans="11:13" ht="15.75" customHeight="1" x14ac:dyDescent="0.25">
      <c r="K663" s="481"/>
      <c r="M663" s="481"/>
    </row>
    <row r="664" spans="11:13" ht="15.75" customHeight="1" x14ac:dyDescent="0.25">
      <c r="K664" s="481"/>
      <c r="M664" s="481"/>
    </row>
    <row r="665" spans="11:13" ht="15.75" customHeight="1" x14ac:dyDescent="0.25">
      <c r="K665" s="481"/>
      <c r="M665" s="481"/>
    </row>
    <row r="666" spans="11:13" ht="15.75" customHeight="1" x14ac:dyDescent="0.25">
      <c r="K666" s="481"/>
      <c r="M666" s="481"/>
    </row>
    <row r="667" spans="11:13" ht="15.75" customHeight="1" x14ac:dyDescent="0.25">
      <c r="K667" s="481"/>
      <c r="M667" s="481"/>
    </row>
    <row r="668" spans="11:13" ht="15.75" customHeight="1" x14ac:dyDescent="0.25">
      <c r="K668" s="481"/>
      <c r="M668" s="481"/>
    </row>
    <row r="669" spans="11:13" ht="15.75" customHeight="1" x14ac:dyDescent="0.25">
      <c r="K669" s="481"/>
      <c r="M669" s="481"/>
    </row>
    <row r="670" spans="11:13" ht="15.75" customHeight="1" x14ac:dyDescent="0.25">
      <c r="K670" s="481"/>
      <c r="M670" s="481"/>
    </row>
    <row r="671" spans="11:13" ht="15.75" customHeight="1" x14ac:dyDescent="0.25">
      <c r="K671" s="481"/>
      <c r="M671" s="481"/>
    </row>
    <row r="672" spans="11:13" ht="15.75" customHeight="1" x14ac:dyDescent="0.25">
      <c r="K672" s="481"/>
      <c r="M672" s="481"/>
    </row>
    <row r="673" spans="11:13" ht="15.75" customHeight="1" x14ac:dyDescent="0.25">
      <c r="K673" s="481"/>
      <c r="M673" s="481"/>
    </row>
    <row r="674" spans="11:13" ht="15.75" customHeight="1" x14ac:dyDescent="0.25">
      <c r="K674" s="481"/>
      <c r="M674" s="481"/>
    </row>
    <row r="675" spans="11:13" ht="15.75" customHeight="1" x14ac:dyDescent="0.25">
      <c r="K675" s="481"/>
      <c r="M675" s="481"/>
    </row>
    <row r="676" spans="11:13" ht="15.75" customHeight="1" x14ac:dyDescent="0.25">
      <c r="K676" s="481"/>
      <c r="M676" s="481"/>
    </row>
    <row r="677" spans="11:13" ht="15.75" customHeight="1" x14ac:dyDescent="0.25">
      <c r="K677" s="481"/>
      <c r="M677" s="481"/>
    </row>
    <row r="678" spans="11:13" ht="15.75" customHeight="1" x14ac:dyDescent="0.25">
      <c r="K678" s="481"/>
      <c r="M678" s="481"/>
    </row>
    <row r="679" spans="11:13" ht="15.75" customHeight="1" x14ac:dyDescent="0.25">
      <c r="K679" s="481"/>
      <c r="M679" s="481"/>
    </row>
    <row r="680" spans="11:13" ht="15.75" customHeight="1" x14ac:dyDescent="0.25">
      <c r="K680" s="481"/>
      <c r="M680" s="481"/>
    </row>
    <row r="681" spans="11:13" ht="15.75" customHeight="1" x14ac:dyDescent="0.25">
      <c r="K681" s="481"/>
      <c r="M681" s="481"/>
    </row>
    <row r="682" spans="11:13" ht="15.75" customHeight="1" x14ac:dyDescent="0.25">
      <c r="K682" s="481"/>
      <c r="M682" s="481"/>
    </row>
    <row r="683" spans="11:13" ht="15.75" customHeight="1" x14ac:dyDescent="0.25">
      <c r="K683" s="481"/>
      <c r="M683" s="481"/>
    </row>
    <row r="684" spans="11:13" ht="15.75" customHeight="1" x14ac:dyDescent="0.25">
      <c r="K684" s="481"/>
      <c r="M684" s="481"/>
    </row>
    <row r="685" spans="11:13" ht="15.75" customHeight="1" x14ac:dyDescent="0.25">
      <c r="K685" s="481"/>
      <c r="M685" s="481"/>
    </row>
    <row r="686" spans="11:13" ht="15.75" customHeight="1" x14ac:dyDescent="0.25">
      <c r="K686" s="481"/>
      <c r="M686" s="481"/>
    </row>
    <row r="687" spans="11:13" ht="15.75" customHeight="1" x14ac:dyDescent="0.25">
      <c r="K687" s="481"/>
      <c r="M687" s="481"/>
    </row>
    <row r="688" spans="11:13" ht="15.75" customHeight="1" x14ac:dyDescent="0.25">
      <c r="K688" s="481"/>
      <c r="M688" s="481"/>
    </row>
    <row r="689" spans="11:13" ht="15.75" customHeight="1" x14ac:dyDescent="0.25">
      <c r="K689" s="481"/>
      <c r="M689" s="481"/>
    </row>
    <row r="690" spans="11:13" ht="15.75" customHeight="1" x14ac:dyDescent="0.25">
      <c r="K690" s="481"/>
      <c r="M690" s="481"/>
    </row>
    <row r="691" spans="11:13" ht="15.75" customHeight="1" x14ac:dyDescent="0.25">
      <c r="K691" s="481"/>
      <c r="M691" s="481"/>
    </row>
    <row r="692" spans="11:13" ht="15.75" customHeight="1" x14ac:dyDescent="0.25">
      <c r="K692" s="481"/>
      <c r="M692" s="481"/>
    </row>
    <row r="693" spans="11:13" ht="15.75" customHeight="1" x14ac:dyDescent="0.25">
      <c r="K693" s="481"/>
      <c r="M693" s="481"/>
    </row>
    <row r="694" spans="11:13" ht="15.75" customHeight="1" x14ac:dyDescent="0.25">
      <c r="K694" s="481"/>
      <c r="M694" s="481"/>
    </row>
    <row r="695" spans="11:13" ht="15.75" customHeight="1" x14ac:dyDescent="0.25">
      <c r="K695" s="481"/>
      <c r="M695" s="481"/>
    </row>
    <row r="696" spans="11:13" ht="15.75" customHeight="1" x14ac:dyDescent="0.25">
      <c r="K696" s="481"/>
      <c r="M696" s="481"/>
    </row>
    <row r="697" spans="11:13" ht="15.75" customHeight="1" x14ac:dyDescent="0.25">
      <c r="K697" s="481"/>
      <c r="M697" s="481"/>
    </row>
    <row r="698" spans="11:13" ht="15.75" customHeight="1" x14ac:dyDescent="0.25">
      <c r="K698" s="481"/>
      <c r="M698" s="481"/>
    </row>
    <row r="699" spans="11:13" ht="15.75" customHeight="1" x14ac:dyDescent="0.25">
      <c r="K699" s="481"/>
      <c r="M699" s="481"/>
    </row>
    <row r="700" spans="11:13" ht="15.75" customHeight="1" x14ac:dyDescent="0.25">
      <c r="K700" s="481"/>
      <c r="M700" s="481"/>
    </row>
    <row r="701" spans="11:13" ht="15.75" customHeight="1" x14ac:dyDescent="0.25">
      <c r="K701" s="481"/>
      <c r="M701" s="481"/>
    </row>
    <row r="702" spans="11:13" ht="15.75" customHeight="1" x14ac:dyDescent="0.25">
      <c r="K702" s="481"/>
      <c r="M702" s="481"/>
    </row>
    <row r="703" spans="11:13" ht="15.75" customHeight="1" x14ac:dyDescent="0.25">
      <c r="K703" s="481"/>
      <c r="M703" s="481"/>
    </row>
    <row r="704" spans="11:13" ht="15.75" customHeight="1" x14ac:dyDescent="0.25">
      <c r="K704" s="481"/>
      <c r="M704" s="481"/>
    </row>
    <row r="705" spans="11:13" ht="15.75" customHeight="1" x14ac:dyDescent="0.25">
      <c r="K705" s="481"/>
      <c r="M705" s="481"/>
    </row>
    <row r="706" spans="11:13" ht="15.75" customHeight="1" x14ac:dyDescent="0.25">
      <c r="K706" s="481"/>
      <c r="M706" s="481"/>
    </row>
    <row r="707" spans="11:13" ht="15.75" customHeight="1" x14ac:dyDescent="0.25">
      <c r="K707" s="481"/>
      <c r="M707" s="481"/>
    </row>
    <row r="708" spans="11:13" ht="15.75" customHeight="1" x14ac:dyDescent="0.25">
      <c r="K708" s="481"/>
      <c r="M708" s="481"/>
    </row>
    <row r="709" spans="11:13" ht="15.75" customHeight="1" x14ac:dyDescent="0.25">
      <c r="K709" s="481"/>
      <c r="M709" s="481"/>
    </row>
    <row r="710" spans="11:13" ht="15.75" customHeight="1" x14ac:dyDescent="0.25">
      <c r="K710" s="481"/>
      <c r="M710" s="481"/>
    </row>
    <row r="711" spans="11:13" ht="15.75" customHeight="1" x14ac:dyDescent="0.25">
      <c r="K711" s="481"/>
      <c r="M711" s="481"/>
    </row>
    <row r="712" spans="11:13" ht="15.75" customHeight="1" x14ac:dyDescent="0.25">
      <c r="K712" s="481"/>
      <c r="M712" s="481"/>
    </row>
    <row r="713" spans="11:13" ht="15.75" customHeight="1" x14ac:dyDescent="0.25">
      <c r="K713" s="481"/>
      <c r="M713" s="481"/>
    </row>
    <row r="714" spans="11:13" ht="15.75" customHeight="1" x14ac:dyDescent="0.25">
      <c r="K714" s="481"/>
      <c r="M714" s="481"/>
    </row>
    <row r="715" spans="11:13" ht="15.75" customHeight="1" x14ac:dyDescent="0.25">
      <c r="K715" s="481"/>
      <c r="M715" s="481"/>
    </row>
    <row r="716" spans="11:13" ht="15.75" customHeight="1" x14ac:dyDescent="0.25">
      <c r="K716" s="481"/>
      <c r="M716" s="481"/>
    </row>
    <row r="717" spans="11:13" ht="15.75" customHeight="1" x14ac:dyDescent="0.25">
      <c r="K717" s="481"/>
      <c r="M717" s="481"/>
    </row>
    <row r="718" spans="11:13" ht="15.75" customHeight="1" x14ac:dyDescent="0.25">
      <c r="K718" s="481"/>
      <c r="M718" s="481"/>
    </row>
    <row r="719" spans="11:13" ht="15.75" customHeight="1" x14ac:dyDescent="0.25">
      <c r="K719" s="481"/>
      <c r="M719" s="481"/>
    </row>
    <row r="720" spans="11:13" ht="15.75" customHeight="1" x14ac:dyDescent="0.25">
      <c r="K720" s="481"/>
      <c r="M720" s="481"/>
    </row>
    <row r="721" spans="11:13" ht="15.75" customHeight="1" x14ac:dyDescent="0.25">
      <c r="K721" s="481"/>
      <c r="M721" s="481"/>
    </row>
    <row r="722" spans="11:13" ht="15.75" customHeight="1" x14ac:dyDescent="0.25">
      <c r="K722" s="481"/>
      <c r="M722" s="481"/>
    </row>
    <row r="723" spans="11:13" ht="15.75" customHeight="1" x14ac:dyDescent="0.25">
      <c r="K723" s="481"/>
      <c r="M723" s="481"/>
    </row>
    <row r="724" spans="11:13" ht="15.75" customHeight="1" x14ac:dyDescent="0.25">
      <c r="K724" s="481"/>
      <c r="M724" s="481"/>
    </row>
    <row r="725" spans="11:13" ht="15.75" customHeight="1" x14ac:dyDescent="0.25">
      <c r="K725" s="481"/>
      <c r="M725" s="481"/>
    </row>
    <row r="726" spans="11:13" ht="15.75" customHeight="1" x14ac:dyDescent="0.25">
      <c r="K726" s="481"/>
      <c r="M726" s="481"/>
    </row>
    <row r="727" spans="11:13" ht="15.75" customHeight="1" x14ac:dyDescent="0.25">
      <c r="K727" s="481"/>
      <c r="M727" s="481"/>
    </row>
    <row r="728" spans="11:13" ht="15.75" customHeight="1" x14ac:dyDescent="0.25">
      <c r="K728" s="481"/>
      <c r="M728" s="481"/>
    </row>
    <row r="729" spans="11:13" ht="15.75" customHeight="1" x14ac:dyDescent="0.25">
      <c r="K729" s="481"/>
      <c r="M729" s="481"/>
    </row>
    <row r="730" spans="11:13" ht="15.75" customHeight="1" x14ac:dyDescent="0.25">
      <c r="K730" s="481"/>
      <c r="M730" s="481"/>
    </row>
    <row r="731" spans="11:13" ht="15.75" customHeight="1" x14ac:dyDescent="0.25">
      <c r="K731" s="481"/>
      <c r="M731" s="481"/>
    </row>
    <row r="732" spans="11:13" ht="15.75" customHeight="1" x14ac:dyDescent="0.25">
      <c r="K732" s="481"/>
      <c r="M732" s="481"/>
    </row>
    <row r="733" spans="11:13" ht="15.75" customHeight="1" x14ac:dyDescent="0.25">
      <c r="K733" s="481"/>
      <c r="M733" s="481"/>
    </row>
    <row r="734" spans="11:13" ht="15.75" customHeight="1" x14ac:dyDescent="0.25">
      <c r="K734" s="481"/>
      <c r="M734" s="481"/>
    </row>
    <row r="735" spans="11:13" ht="15.75" customHeight="1" x14ac:dyDescent="0.25">
      <c r="K735" s="481"/>
      <c r="M735" s="481"/>
    </row>
    <row r="736" spans="11:13" ht="15.75" customHeight="1" x14ac:dyDescent="0.25">
      <c r="K736" s="481"/>
      <c r="M736" s="481"/>
    </row>
    <row r="737" spans="11:13" ht="15.75" customHeight="1" x14ac:dyDescent="0.25">
      <c r="K737" s="481"/>
      <c r="M737" s="481"/>
    </row>
    <row r="738" spans="11:13" ht="15.75" customHeight="1" x14ac:dyDescent="0.25">
      <c r="K738" s="481"/>
      <c r="M738" s="481"/>
    </row>
    <row r="739" spans="11:13" ht="15.75" customHeight="1" x14ac:dyDescent="0.25">
      <c r="K739" s="481"/>
      <c r="M739" s="481"/>
    </row>
    <row r="740" spans="11:13" ht="15.75" customHeight="1" x14ac:dyDescent="0.25">
      <c r="K740" s="481"/>
      <c r="M740" s="481"/>
    </row>
    <row r="741" spans="11:13" ht="15.75" customHeight="1" x14ac:dyDescent="0.25">
      <c r="K741" s="481"/>
      <c r="M741" s="481"/>
    </row>
    <row r="742" spans="11:13" ht="15.75" customHeight="1" x14ac:dyDescent="0.25">
      <c r="K742" s="481"/>
      <c r="M742" s="481"/>
    </row>
    <row r="743" spans="11:13" ht="15.75" customHeight="1" x14ac:dyDescent="0.25">
      <c r="K743" s="481"/>
      <c r="M743" s="481"/>
    </row>
    <row r="744" spans="11:13" ht="15.75" customHeight="1" x14ac:dyDescent="0.25">
      <c r="K744" s="481"/>
      <c r="M744" s="481"/>
    </row>
    <row r="745" spans="11:13" ht="15.75" customHeight="1" x14ac:dyDescent="0.25">
      <c r="K745" s="481"/>
      <c r="M745" s="481"/>
    </row>
    <row r="746" spans="11:13" ht="15.75" customHeight="1" x14ac:dyDescent="0.25">
      <c r="K746" s="481"/>
      <c r="M746" s="481"/>
    </row>
    <row r="747" spans="11:13" ht="15.75" customHeight="1" x14ac:dyDescent="0.25">
      <c r="K747" s="481"/>
      <c r="M747" s="481"/>
    </row>
    <row r="748" spans="11:13" ht="15.75" customHeight="1" x14ac:dyDescent="0.25">
      <c r="K748" s="481"/>
      <c r="M748" s="481"/>
    </row>
    <row r="749" spans="11:13" ht="15.75" customHeight="1" x14ac:dyDescent="0.25">
      <c r="K749" s="481"/>
      <c r="M749" s="481"/>
    </row>
    <row r="750" spans="11:13" ht="15.75" customHeight="1" x14ac:dyDescent="0.25">
      <c r="K750" s="481"/>
      <c r="M750" s="481"/>
    </row>
    <row r="751" spans="11:13" ht="15.75" customHeight="1" x14ac:dyDescent="0.25">
      <c r="K751" s="481"/>
      <c r="M751" s="481"/>
    </row>
    <row r="752" spans="11:13" ht="15.75" customHeight="1" x14ac:dyDescent="0.25">
      <c r="K752" s="481"/>
      <c r="M752" s="481"/>
    </row>
    <row r="753" spans="11:13" ht="15.75" customHeight="1" x14ac:dyDescent="0.25">
      <c r="K753" s="481"/>
      <c r="M753" s="481"/>
    </row>
    <row r="754" spans="11:13" ht="15.75" customHeight="1" x14ac:dyDescent="0.25">
      <c r="K754" s="481"/>
      <c r="M754" s="481"/>
    </row>
    <row r="755" spans="11:13" ht="15.75" customHeight="1" x14ac:dyDescent="0.25">
      <c r="K755" s="481"/>
      <c r="M755" s="481"/>
    </row>
    <row r="756" spans="11:13" ht="15.75" customHeight="1" x14ac:dyDescent="0.25">
      <c r="K756" s="481"/>
      <c r="M756" s="481"/>
    </row>
    <row r="757" spans="11:13" ht="15.75" customHeight="1" x14ac:dyDescent="0.25">
      <c r="K757" s="481"/>
      <c r="M757" s="481"/>
    </row>
    <row r="758" spans="11:13" ht="15.75" customHeight="1" x14ac:dyDescent="0.25">
      <c r="K758" s="481"/>
      <c r="M758" s="481"/>
    </row>
    <row r="759" spans="11:13" ht="15.75" customHeight="1" x14ac:dyDescent="0.25">
      <c r="K759" s="481"/>
      <c r="M759" s="481"/>
    </row>
    <row r="760" spans="11:13" ht="15.75" customHeight="1" x14ac:dyDescent="0.25">
      <c r="K760" s="481"/>
      <c r="M760" s="481"/>
    </row>
    <row r="761" spans="11:13" ht="15.75" customHeight="1" x14ac:dyDescent="0.25">
      <c r="K761" s="481"/>
      <c r="M761" s="481"/>
    </row>
    <row r="762" spans="11:13" ht="15.75" customHeight="1" x14ac:dyDescent="0.25">
      <c r="K762" s="481"/>
      <c r="M762" s="481"/>
    </row>
    <row r="763" spans="11:13" ht="15.75" customHeight="1" x14ac:dyDescent="0.25">
      <c r="K763" s="481"/>
      <c r="M763" s="481"/>
    </row>
    <row r="764" spans="11:13" ht="15.75" customHeight="1" x14ac:dyDescent="0.25">
      <c r="K764" s="481"/>
      <c r="M764" s="481"/>
    </row>
    <row r="765" spans="11:13" ht="15.75" customHeight="1" x14ac:dyDescent="0.25">
      <c r="K765" s="481"/>
      <c r="M765" s="481"/>
    </row>
    <row r="766" spans="11:13" ht="15.75" customHeight="1" x14ac:dyDescent="0.25">
      <c r="K766" s="481"/>
      <c r="M766" s="481"/>
    </row>
    <row r="767" spans="11:13" ht="15.75" customHeight="1" x14ac:dyDescent="0.25">
      <c r="K767" s="481"/>
      <c r="M767" s="481"/>
    </row>
    <row r="768" spans="11:13" ht="15.75" customHeight="1" x14ac:dyDescent="0.25">
      <c r="K768" s="481"/>
      <c r="M768" s="481"/>
    </row>
    <row r="769" spans="11:13" ht="15.75" customHeight="1" x14ac:dyDescent="0.25">
      <c r="K769" s="481"/>
      <c r="M769" s="481"/>
    </row>
    <row r="770" spans="11:13" ht="15.75" customHeight="1" x14ac:dyDescent="0.25">
      <c r="K770" s="481"/>
      <c r="M770" s="481"/>
    </row>
    <row r="771" spans="11:13" ht="15.75" customHeight="1" x14ac:dyDescent="0.25">
      <c r="K771" s="481"/>
      <c r="M771" s="481"/>
    </row>
    <row r="772" spans="11:13" ht="15.75" customHeight="1" x14ac:dyDescent="0.25">
      <c r="K772" s="481"/>
      <c r="M772" s="481"/>
    </row>
    <row r="773" spans="11:13" ht="15.75" customHeight="1" x14ac:dyDescent="0.25">
      <c r="K773" s="481"/>
      <c r="M773" s="481"/>
    </row>
    <row r="774" spans="11:13" ht="15.75" customHeight="1" x14ac:dyDescent="0.25">
      <c r="K774" s="481"/>
      <c r="M774" s="481"/>
    </row>
    <row r="775" spans="11:13" ht="15.75" customHeight="1" x14ac:dyDescent="0.25">
      <c r="K775" s="481"/>
      <c r="M775" s="481"/>
    </row>
    <row r="776" spans="11:13" ht="15.75" customHeight="1" x14ac:dyDescent="0.25">
      <c r="K776" s="481"/>
      <c r="M776" s="481"/>
    </row>
    <row r="777" spans="11:13" ht="15.75" customHeight="1" x14ac:dyDescent="0.25">
      <c r="K777" s="481"/>
      <c r="M777" s="481"/>
    </row>
    <row r="778" spans="11:13" ht="15.75" customHeight="1" x14ac:dyDescent="0.25">
      <c r="K778" s="481"/>
      <c r="M778" s="481"/>
    </row>
    <row r="779" spans="11:13" ht="15.75" customHeight="1" x14ac:dyDescent="0.25">
      <c r="K779" s="481"/>
      <c r="M779" s="481"/>
    </row>
    <row r="780" spans="11:13" ht="15.75" customHeight="1" x14ac:dyDescent="0.25">
      <c r="K780" s="481"/>
      <c r="M780" s="481"/>
    </row>
    <row r="781" spans="11:13" ht="15.75" customHeight="1" x14ac:dyDescent="0.25">
      <c r="K781" s="481"/>
      <c r="M781" s="481"/>
    </row>
    <row r="782" spans="11:13" ht="15.75" customHeight="1" x14ac:dyDescent="0.25">
      <c r="K782" s="481"/>
      <c r="M782" s="481"/>
    </row>
    <row r="783" spans="11:13" ht="15.75" customHeight="1" x14ac:dyDescent="0.25">
      <c r="K783" s="481"/>
      <c r="M783" s="481"/>
    </row>
    <row r="784" spans="11:13" ht="15.75" customHeight="1" x14ac:dyDescent="0.25">
      <c r="K784" s="481"/>
      <c r="M784" s="481"/>
    </row>
    <row r="785" spans="11:13" ht="15.75" customHeight="1" x14ac:dyDescent="0.25">
      <c r="K785" s="481"/>
      <c r="M785" s="481"/>
    </row>
    <row r="786" spans="11:13" ht="15.75" customHeight="1" x14ac:dyDescent="0.25">
      <c r="K786" s="481"/>
      <c r="M786" s="481"/>
    </row>
    <row r="787" spans="11:13" ht="15.75" customHeight="1" x14ac:dyDescent="0.25">
      <c r="K787" s="481"/>
      <c r="M787" s="481"/>
    </row>
    <row r="788" spans="11:13" ht="15.75" customHeight="1" x14ac:dyDescent="0.25">
      <c r="K788" s="481"/>
      <c r="M788" s="481"/>
    </row>
    <row r="789" spans="11:13" ht="15.75" customHeight="1" x14ac:dyDescent="0.25">
      <c r="K789" s="481"/>
      <c r="M789" s="481"/>
    </row>
    <row r="790" spans="11:13" ht="15.75" customHeight="1" x14ac:dyDescent="0.25">
      <c r="K790" s="481"/>
      <c r="M790" s="481"/>
    </row>
    <row r="791" spans="11:13" ht="15.75" customHeight="1" x14ac:dyDescent="0.25">
      <c r="K791" s="481"/>
      <c r="M791" s="481"/>
    </row>
    <row r="792" spans="11:13" ht="15.75" customHeight="1" x14ac:dyDescent="0.25">
      <c r="K792" s="481"/>
      <c r="M792" s="481"/>
    </row>
    <row r="793" spans="11:13" ht="15.75" customHeight="1" x14ac:dyDescent="0.25">
      <c r="K793" s="481"/>
      <c r="M793" s="481"/>
    </row>
    <row r="794" spans="11:13" ht="15.75" customHeight="1" x14ac:dyDescent="0.25">
      <c r="K794" s="481"/>
      <c r="M794" s="481"/>
    </row>
    <row r="795" spans="11:13" ht="15.75" customHeight="1" x14ac:dyDescent="0.25">
      <c r="K795" s="481"/>
      <c r="M795" s="481"/>
    </row>
    <row r="796" spans="11:13" ht="15.75" customHeight="1" x14ac:dyDescent="0.25">
      <c r="K796" s="481"/>
      <c r="M796" s="481"/>
    </row>
    <row r="797" spans="11:13" ht="15.75" customHeight="1" x14ac:dyDescent="0.25">
      <c r="K797" s="481"/>
      <c r="M797" s="481"/>
    </row>
    <row r="798" spans="11:13" ht="15.75" customHeight="1" x14ac:dyDescent="0.25">
      <c r="K798" s="481"/>
      <c r="M798" s="481"/>
    </row>
    <row r="799" spans="11:13" ht="15.75" customHeight="1" x14ac:dyDescent="0.25">
      <c r="K799" s="481"/>
      <c r="M799" s="481"/>
    </row>
    <row r="800" spans="11:13" ht="15.75" customHeight="1" x14ac:dyDescent="0.25">
      <c r="K800" s="481"/>
      <c r="M800" s="481"/>
    </row>
    <row r="801" spans="11:13" ht="15.75" customHeight="1" x14ac:dyDescent="0.25">
      <c r="K801" s="481"/>
      <c r="M801" s="481"/>
    </row>
    <row r="802" spans="11:13" ht="15.75" customHeight="1" x14ac:dyDescent="0.25">
      <c r="K802" s="481"/>
      <c r="M802" s="481"/>
    </row>
    <row r="803" spans="11:13" ht="15.75" customHeight="1" x14ac:dyDescent="0.25">
      <c r="K803" s="481"/>
      <c r="M803" s="481"/>
    </row>
    <row r="804" spans="11:13" ht="15.75" customHeight="1" x14ac:dyDescent="0.25">
      <c r="K804" s="481"/>
      <c r="M804" s="481"/>
    </row>
    <row r="805" spans="11:13" ht="15.75" customHeight="1" x14ac:dyDescent="0.25">
      <c r="K805" s="481"/>
      <c r="M805" s="481"/>
    </row>
    <row r="806" spans="11:13" ht="15.75" customHeight="1" x14ac:dyDescent="0.25">
      <c r="K806" s="481"/>
      <c r="M806" s="481"/>
    </row>
    <row r="807" spans="11:13" ht="15.75" customHeight="1" x14ac:dyDescent="0.25">
      <c r="K807" s="481"/>
      <c r="M807" s="481"/>
    </row>
    <row r="808" spans="11:13" ht="15.75" customHeight="1" x14ac:dyDescent="0.25">
      <c r="K808" s="481"/>
      <c r="M808" s="481"/>
    </row>
    <row r="809" spans="11:13" ht="15.75" customHeight="1" x14ac:dyDescent="0.25">
      <c r="K809" s="481"/>
      <c r="M809" s="481"/>
    </row>
    <row r="810" spans="11:13" ht="15.75" customHeight="1" x14ac:dyDescent="0.25">
      <c r="K810" s="481"/>
      <c r="M810" s="481"/>
    </row>
    <row r="811" spans="11:13" ht="15.75" customHeight="1" x14ac:dyDescent="0.25">
      <c r="K811" s="481"/>
      <c r="M811" s="481"/>
    </row>
    <row r="812" spans="11:13" ht="15.75" customHeight="1" x14ac:dyDescent="0.25">
      <c r="K812" s="481"/>
      <c r="M812" s="481"/>
    </row>
    <row r="813" spans="11:13" ht="15.75" customHeight="1" x14ac:dyDescent="0.25">
      <c r="K813" s="481"/>
      <c r="M813" s="481"/>
    </row>
    <row r="814" spans="11:13" ht="15.75" customHeight="1" x14ac:dyDescent="0.25">
      <c r="K814" s="481"/>
      <c r="M814" s="481"/>
    </row>
    <row r="815" spans="11:13" ht="15.75" customHeight="1" x14ac:dyDescent="0.25">
      <c r="K815" s="481"/>
      <c r="M815" s="481"/>
    </row>
    <row r="816" spans="11:13" ht="15.75" customHeight="1" x14ac:dyDescent="0.25">
      <c r="K816" s="481"/>
      <c r="M816" s="481"/>
    </row>
    <row r="817" spans="11:13" ht="15.75" customHeight="1" x14ac:dyDescent="0.25">
      <c r="K817" s="481"/>
      <c r="M817" s="481"/>
    </row>
    <row r="818" spans="11:13" ht="15.75" customHeight="1" x14ac:dyDescent="0.25">
      <c r="K818" s="481"/>
      <c r="M818" s="481"/>
    </row>
    <row r="819" spans="11:13" ht="15.75" customHeight="1" x14ac:dyDescent="0.25">
      <c r="K819" s="481"/>
      <c r="M819" s="481"/>
    </row>
    <row r="820" spans="11:13" ht="15.75" customHeight="1" x14ac:dyDescent="0.25">
      <c r="K820" s="481"/>
      <c r="M820" s="481"/>
    </row>
    <row r="821" spans="11:13" ht="15.75" customHeight="1" x14ac:dyDescent="0.25">
      <c r="K821" s="481"/>
      <c r="M821" s="481"/>
    </row>
    <row r="822" spans="11:13" ht="15.75" customHeight="1" x14ac:dyDescent="0.25">
      <c r="K822" s="481"/>
      <c r="M822" s="481"/>
    </row>
    <row r="823" spans="11:13" ht="15.75" customHeight="1" x14ac:dyDescent="0.25">
      <c r="K823" s="481"/>
      <c r="M823" s="481"/>
    </row>
    <row r="824" spans="11:13" ht="15.75" customHeight="1" x14ac:dyDescent="0.25">
      <c r="K824" s="481"/>
      <c r="M824" s="481"/>
    </row>
    <row r="825" spans="11:13" ht="15.75" customHeight="1" x14ac:dyDescent="0.25">
      <c r="K825" s="481"/>
      <c r="M825" s="481"/>
    </row>
    <row r="826" spans="11:13" ht="15.75" customHeight="1" x14ac:dyDescent="0.25">
      <c r="K826" s="481"/>
      <c r="M826" s="481"/>
    </row>
    <row r="827" spans="11:13" ht="15.75" customHeight="1" x14ac:dyDescent="0.25">
      <c r="K827" s="481"/>
      <c r="M827" s="481"/>
    </row>
    <row r="828" spans="11:13" ht="15.75" customHeight="1" x14ac:dyDescent="0.25">
      <c r="K828" s="481"/>
      <c r="M828" s="481"/>
    </row>
    <row r="829" spans="11:13" ht="15.75" customHeight="1" x14ac:dyDescent="0.25">
      <c r="K829" s="481"/>
      <c r="M829" s="481"/>
    </row>
    <row r="830" spans="11:13" ht="15.75" customHeight="1" x14ac:dyDescent="0.25">
      <c r="K830" s="481"/>
      <c r="M830" s="481"/>
    </row>
    <row r="831" spans="11:13" ht="15.75" customHeight="1" x14ac:dyDescent="0.25">
      <c r="K831" s="481"/>
      <c r="M831" s="481"/>
    </row>
    <row r="832" spans="11:13" ht="15.75" customHeight="1" x14ac:dyDescent="0.25">
      <c r="K832" s="481"/>
      <c r="M832" s="481"/>
    </row>
    <row r="833" spans="11:13" ht="15.75" customHeight="1" x14ac:dyDescent="0.25">
      <c r="K833" s="481"/>
      <c r="M833" s="481"/>
    </row>
    <row r="834" spans="11:13" ht="15.75" customHeight="1" x14ac:dyDescent="0.25">
      <c r="K834" s="481"/>
      <c r="M834" s="481"/>
    </row>
    <row r="835" spans="11:13" ht="15.75" customHeight="1" x14ac:dyDescent="0.25">
      <c r="K835" s="481"/>
      <c r="M835" s="481"/>
    </row>
    <row r="836" spans="11:13" ht="15.75" customHeight="1" x14ac:dyDescent="0.25">
      <c r="K836" s="481"/>
      <c r="M836" s="481"/>
    </row>
    <row r="837" spans="11:13" ht="15.75" customHeight="1" x14ac:dyDescent="0.25">
      <c r="K837" s="481"/>
      <c r="M837" s="481"/>
    </row>
    <row r="838" spans="11:13" ht="15.75" customHeight="1" x14ac:dyDescent="0.25">
      <c r="K838" s="481"/>
      <c r="M838" s="481"/>
    </row>
    <row r="839" spans="11:13" ht="15.75" customHeight="1" x14ac:dyDescent="0.25">
      <c r="K839" s="481"/>
      <c r="M839" s="481"/>
    </row>
    <row r="840" spans="11:13" ht="15.75" customHeight="1" x14ac:dyDescent="0.25">
      <c r="K840" s="481"/>
      <c r="M840" s="481"/>
    </row>
    <row r="841" spans="11:13" ht="15.75" customHeight="1" x14ac:dyDescent="0.25">
      <c r="K841" s="481"/>
      <c r="M841" s="481"/>
    </row>
    <row r="842" spans="11:13" ht="15.75" customHeight="1" x14ac:dyDescent="0.25">
      <c r="K842" s="481"/>
      <c r="M842" s="481"/>
    </row>
    <row r="843" spans="11:13" ht="15.75" customHeight="1" x14ac:dyDescent="0.25">
      <c r="K843" s="481"/>
      <c r="M843" s="481"/>
    </row>
    <row r="844" spans="11:13" ht="15.75" customHeight="1" x14ac:dyDescent="0.25">
      <c r="K844" s="481"/>
      <c r="M844" s="481"/>
    </row>
    <row r="845" spans="11:13" ht="15.75" customHeight="1" x14ac:dyDescent="0.25">
      <c r="K845" s="481"/>
      <c r="M845" s="481"/>
    </row>
    <row r="846" spans="11:13" ht="15.75" customHeight="1" x14ac:dyDescent="0.25">
      <c r="K846" s="481"/>
      <c r="M846" s="481"/>
    </row>
    <row r="847" spans="11:13" ht="15.75" customHeight="1" x14ac:dyDescent="0.25">
      <c r="K847" s="481"/>
      <c r="M847" s="481"/>
    </row>
    <row r="848" spans="11:13" ht="15.75" customHeight="1" x14ac:dyDescent="0.25">
      <c r="K848" s="481"/>
      <c r="M848" s="481"/>
    </row>
    <row r="849" spans="11:13" ht="15.75" customHeight="1" x14ac:dyDescent="0.25">
      <c r="K849" s="481"/>
      <c r="M849" s="481"/>
    </row>
    <row r="850" spans="11:13" ht="15.75" customHeight="1" x14ac:dyDescent="0.25">
      <c r="K850" s="481"/>
      <c r="M850" s="481"/>
    </row>
    <row r="851" spans="11:13" ht="15.75" customHeight="1" x14ac:dyDescent="0.25">
      <c r="K851" s="481"/>
      <c r="M851" s="481"/>
    </row>
    <row r="852" spans="11:13" ht="15.75" customHeight="1" x14ac:dyDescent="0.25">
      <c r="K852" s="481"/>
      <c r="M852" s="481"/>
    </row>
    <row r="853" spans="11:13" ht="15.75" customHeight="1" x14ac:dyDescent="0.25">
      <c r="K853" s="481"/>
      <c r="M853" s="481"/>
    </row>
    <row r="854" spans="11:13" ht="15.75" customHeight="1" x14ac:dyDescent="0.25">
      <c r="K854" s="481"/>
      <c r="M854" s="481"/>
    </row>
    <row r="855" spans="11:13" ht="15.75" customHeight="1" x14ac:dyDescent="0.25">
      <c r="K855" s="481"/>
      <c r="M855" s="481"/>
    </row>
    <row r="856" spans="11:13" ht="15.75" customHeight="1" x14ac:dyDescent="0.25">
      <c r="K856" s="481"/>
      <c r="M856" s="481"/>
    </row>
    <row r="857" spans="11:13" ht="15.75" customHeight="1" x14ac:dyDescent="0.25">
      <c r="K857" s="481"/>
      <c r="M857" s="481"/>
    </row>
    <row r="858" spans="11:13" ht="15.75" customHeight="1" x14ac:dyDescent="0.25">
      <c r="K858" s="481"/>
      <c r="M858" s="481"/>
    </row>
    <row r="859" spans="11:13" ht="15.75" customHeight="1" x14ac:dyDescent="0.25">
      <c r="K859" s="481"/>
      <c r="M859" s="481"/>
    </row>
    <row r="860" spans="11:13" ht="15.75" customHeight="1" x14ac:dyDescent="0.25">
      <c r="K860" s="481"/>
      <c r="M860" s="481"/>
    </row>
    <row r="861" spans="11:13" ht="15.75" customHeight="1" x14ac:dyDescent="0.25">
      <c r="K861" s="481"/>
      <c r="M861" s="481"/>
    </row>
    <row r="862" spans="11:13" ht="15.75" customHeight="1" x14ac:dyDescent="0.25">
      <c r="K862" s="481"/>
      <c r="M862" s="481"/>
    </row>
    <row r="863" spans="11:13" ht="15.75" customHeight="1" x14ac:dyDescent="0.25">
      <c r="K863" s="481"/>
      <c r="M863" s="481"/>
    </row>
    <row r="864" spans="11:13" ht="15.75" customHeight="1" x14ac:dyDescent="0.25">
      <c r="K864" s="481"/>
      <c r="M864" s="481"/>
    </row>
    <row r="865" spans="11:13" ht="15.75" customHeight="1" x14ac:dyDescent="0.25">
      <c r="K865" s="481"/>
      <c r="M865" s="481"/>
    </row>
    <row r="866" spans="11:13" ht="15.75" customHeight="1" x14ac:dyDescent="0.25">
      <c r="K866" s="481"/>
      <c r="M866" s="481"/>
    </row>
    <row r="867" spans="11:13" ht="15.75" customHeight="1" x14ac:dyDescent="0.25">
      <c r="K867" s="481"/>
      <c r="M867" s="481"/>
    </row>
    <row r="868" spans="11:13" ht="15.75" customHeight="1" x14ac:dyDescent="0.25">
      <c r="K868" s="481"/>
      <c r="M868" s="481"/>
    </row>
    <row r="869" spans="11:13" ht="15.75" customHeight="1" x14ac:dyDescent="0.25">
      <c r="K869" s="481"/>
      <c r="M869" s="481"/>
    </row>
    <row r="870" spans="11:13" ht="15.75" customHeight="1" x14ac:dyDescent="0.25">
      <c r="K870" s="481"/>
      <c r="M870" s="481"/>
    </row>
    <row r="871" spans="11:13" ht="15.75" customHeight="1" x14ac:dyDescent="0.25">
      <c r="K871" s="481"/>
      <c r="M871" s="481"/>
    </row>
    <row r="872" spans="11:13" ht="15.75" customHeight="1" x14ac:dyDescent="0.25">
      <c r="K872" s="481"/>
      <c r="M872" s="481"/>
    </row>
    <row r="873" spans="11:13" ht="15.75" customHeight="1" x14ac:dyDescent="0.25">
      <c r="K873" s="481"/>
      <c r="M873" s="481"/>
    </row>
    <row r="874" spans="11:13" ht="15.75" customHeight="1" x14ac:dyDescent="0.25">
      <c r="K874" s="481"/>
      <c r="M874" s="481"/>
    </row>
    <row r="875" spans="11:13" ht="15.75" customHeight="1" x14ac:dyDescent="0.25">
      <c r="K875" s="481"/>
      <c r="M875" s="481"/>
    </row>
    <row r="876" spans="11:13" ht="15.75" customHeight="1" x14ac:dyDescent="0.25">
      <c r="K876" s="481"/>
      <c r="M876" s="481"/>
    </row>
    <row r="877" spans="11:13" ht="15.75" customHeight="1" x14ac:dyDescent="0.25">
      <c r="K877" s="481"/>
      <c r="M877" s="481"/>
    </row>
    <row r="878" spans="11:13" ht="15.75" customHeight="1" x14ac:dyDescent="0.25">
      <c r="K878" s="481"/>
      <c r="M878" s="481"/>
    </row>
    <row r="879" spans="11:13" ht="15.75" customHeight="1" x14ac:dyDescent="0.25">
      <c r="K879" s="481"/>
      <c r="M879" s="481"/>
    </row>
    <row r="880" spans="11:13" ht="15.75" customHeight="1" x14ac:dyDescent="0.25">
      <c r="K880" s="481"/>
      <c r="M880" s="481"/>
    </row>
    <row r="881" spans="11:13" ht="15.75" customHeight="1" x14ac:dyDescent="0.25">
      <c r="K881" s="481"/>
      <c r="M881" s="481"/>
    </row>
    <row r="882" spans="11:13" ht="15.75" customHeight="1" x14ac:dyDescent="0.25">
      <c r="K882" s="481"/>
      <c r="M882" s="481"/>
    </row>
    <row r="883" spans="11:13" ht="15.75" customHeight="1" x14ac:dyDescent="0.25">
      <c r="K883" s="481"/>
      <c r="M883" s="481"/>
    </row>
    <row r="884" spans="11:13" ht="15.75" customHeight="1" x14ac:dyDescent="0.25">
      <c r="K884" s="481"/>
      <c r="M884" s="481"/>
    </row>
    <row r="885" spans="11:13" ht="15.75" customHeight="1" x14ac:dyDescent="0.25">
      <c r="K885" s="481"/>
      <c r="M885" s="481"/>
    </row>
    <row r="886" spans="11:13" ht="15.75" customHeight="1" x14ac:dyDescent="0.25">
      <c r="K886" s="481"/>
      <c r="M886" s="481"/>
    </row>
    <row r="887" spans="11:13" ht="15.75" customHeight="1" x14ac:dyDescent="0.25">
      <c r="K887" s="481"/>
      <c r="M887" s="481"/>
    </row>
    <row r="888" spans="11:13" ht="15.75" customHeight="1" x14ac:dyDescent="0.25">
      <c r="K888" s="481"/>
      <c r="M888" s="481"/>
    </row>
    <row r="889" spans="11:13" ht="15.75" customHeight="1" x14ac:dyDescent="0.25">
      <c r="K889" s="481"/>
      <c r="M889" s="481"/>
    </row>
    <row r="890" spans="11:13" ht="15.75" customHeight="1" x14ac:dyDescent="0.25">
      <c r="K890" s="481"/>
      <c r="M890" s="481"/>
    </row>
    <row r="891" spans="11:13" ht="15.75" customHeight="1" x14ac:dyDescent="0.25">
      <c r="K891" s="481"/>
      <c r="M891" s="481"/>
    </row>
    <row r="892" spans="11:13" ht="15.75" customHeight="1" x14ac:dyDescent="0.25">
      <c r="K892" s="481"/>
      <c r="M892" s="481"/>
    </row>
    <row r="893" spans="11:13" ht="15.75" customHeight="1" x14ac:dyDescent="0.25">
      <c r="K893" s="481"/>
      <c r="M893" s="481"/>
    </row>
    <row r="894" spans="11:13" ht="15.75" customHeight="1" x14ac:dyDescent="0.25">
      <c r="K894" s="481"/>
      <c r="M894" s="481"/>
    </row>
    <row r="895" spans="11:13" ht="15.75" customHeight="1" x14ac:dyDescent="0.25">
      <c r="K895" s="481"/>
      <c r="M895" s="481"/>
    </row>
    <row r="896" spans="11:13" ht="15.75" customHeight="1" x14ac:dyDescent="0.25">
      <c r="K896" s="481"/>
      <c r="M896" s="481"/>
    </row>
    <row r="897" spans="11:13" ht="15.75" customHeight="1" x14ac:dyDescent="0.25">
      <c r="K897" s="481"/>
      <c r="M897" s="481"/>
    </row>
    <row r="898" spans="11:13" ht="15.75" customHeight="1" x14ac:dyDescent="0.25">
      <c r="K898" s="481"/>
      <c r="M898" s="481"/>
    </row>
    <row r="899" spans="11:13" ht="15.75" customHeight="1" x14ac:dyDescent="0.25">
      <c r="K899" s="481"/>
      <c r="M899" s="481"/>
    </row>
    <row r="900" spans="11:13" ht="15.75" customHeight="1" x14ac:dyDescent="0.25">
      <c r="K900" s="481"/>
      <c r="M900" s="481"/>
    </row>
    <row r="901" spans="11:13" ht="15.75" customHeight="1" x14ac:dyDescent="0.25">
      <c r="K901" s="481"/>
      <c r="M901" s="481"/>
    </row>
    <row r="902" spans="11:13" ht="15.75" customHeight="1" x14ac:dyDescent="0.25">
      <c r="K902" s="481"/>
      <c r="M902" s="481"/>
    </row>
    <row r="903" spans="11:13" ht="15.75" customHeight="1" x14ac:dyDescent="0.25">
      <c r="K903" s="481"/>
      <c r="M903" s="481"/>
    </row>
    <row r="904" spans="11:13" ht="15.75" customHeight="1" x14ac:dyDescent="0.25">
      <c r="K904" s="481"/>
      <c r="M904" s="481"/>
    </row>
    <row r="905" spans="11:13" ht="15.75" customHeight="1" x14ac:dyDescent="0.25">
      <c r="K905" s="481"/>
      <c r="M905" s="481"/>
    </row>
    <row r="906" spans="11:13" ht="15.75" customHeight="1" x14ac:dyDescent="0.25">
      <c r="K906" s="481"/>
      <c r="M906" s="481"/>
    </row>
    <row r="907" spans="11:13" ht="15.75" customHeight="1" x14ac:dyDescent="0.25">
      <c r="K907" s="481"/>
      <c r="M907" s="481"/>
    </row>
    <row r="908" spans="11:13" ht="15.75" customHeight="1" x14ac:dyDescent="0.25">
      <c r="K908" s="481"/>
      <c r="M908" s="481"/>
    </row>
    <row r="909" spans="11:13" ht="15.75" customHeight="1" x14ac:dyDescent="0.25">
      <c r="K909" s="481"/>
      <c r="M909" s="481"/>
    </row>
    <row r="910" spans="11:13" ht="15.75" customHeight="1" x14ac:dyDescent="0.25">
      <c r="K910" s="481"/>
      <c r="M910" s="481"/>
    </row>
    <row r="911" spans="11:13" ht="15.75" customHeight="1" x14ac:dyDescent="0.25">
      <c r="K911" s="481"/>
      <c r="M911" s="481"/>
    </row>
    <row r="912" spans="11:13" ht="15.75" customHeight="1" x14ac:dyDescent="0.25">
      <c r="K912" s="481"/>
      <c r="M912" s="481"/>
    </row>
    <row r="913" spans="11:13" ht="15.75" customHeight="1" x14ac:dyDescent="0.25">
      <c r="K913" s="481"/>
      <c r="M913" s="481"/>
    </row>
    <row r="914" spans="11:13" ht="15.75" customHeight="1" x14ac:dyDescent="0.25">
      <c r="K914" s="481"/>
      <c r="M914" s="481"/>
    </row>
    <row r="915" spans="11:13" ht="15.75" customHeight="1" x14ac:dyDescent="0.25">
      <c r="K915" s="481"/>
      <c r="M915" s="481"/>
    </row>
    <row r="916" spans="11:13" ht="15.75" customHeight="1" x14ac:dyDescent="0.25">
      <c r="K916" s="481"/>
      <c r="M916" s="481"/>
    </row>
    <row r="917" spans="11:13" ht="15.75" customHeight="1" x14ac:dyDescent="0.25">
      <c r="K917" s="481"/>
      <c r="M917" s="481"/>
    </row>
    <row r="918" spans="11:13" ht="15.75" customHeight="1" x14ac:dyDescent="0.25">
      <c r="K918" s="481"/>
      <c r="M918" s="481"/>
    </row>
    <row r="919" spans="11:13" ht="15.75" customHeight="1" x14ac:dyDescent="0.25">
      <c r="K919" s="481"/>
      <c r="M919" s="481"/>
    </row>
    <row r="920" spans="11:13" ht="15.75" customHeight="1" x14ac:dyDescent="0.25">
      <c r="K920" s="481"/>
      <c r="M920" s="481"/>
    </row>
    <row r="921" spans="11:13" ht="15.75" customHeight="1" x14ac:dyDescent="0.25">
      <c r="K921" s="481"/>
      <c r="M921" s="481"/>
    </row>
    <row r="922" spans="11:13" ht="15.75" customHeight="1" x14ac:dyDescent="0.25">
      <c r="K922" s="481"/>
      <c r="M922" s="481"/>
    </row>
    <row r="923" spans="11:13" ht="15.75" customHeight="1" x14ac:dyDescent="0.25">
      <c r="K923" s="481"/>
      <c r="M923" s="481"/>
    </row>
    <row r="924" spans="11:13" ht="15.75" customHeight="1" x14ac:dyDescent="0.25">
      <c r="K924" s="481"/>
      <c r="M924" s="481"/>
    </row>
    <row r="925" spans="11:13" ht="15.75" customHeight="1" x14ac:dyDescent="0.25">
      <c r="K925" s="481"/>
      <c r="M925" s="481"/>
    </row>
    <row r="926" spans="11:13" ht="15.75" customHeight="1" x14ac:dyDescent="0.25">
      <c r="K926" s="481"/>
      <c r="M926" s="481"/>
    </row>
    <row r="927" spans="11:13" ht="15.75" customHeight="1" x14ac:dyDescent="0.25">
      <c r="K927" s="481"/>
      <c r="M927" s="481"/>
    </row>
    <row r="928" spans="11:13" ht="15.75" customHeight="1" x14ac:dyDescent="0.25">
      <c r="K928" s="481"/>
      <c r="M928" s="481"/>
    </row>
    <row r="929" spans="11:13" ht="15.75" customHeight="1" x14ac:dyDescent="0.25">
      <c r="K929" s="481"/>
      <c r="M929" s="481"/>
    </row>
    <row r="930" spans="11:13" ht="15.75" customHeight="1" x14ac:dyDescent="0.25">
      <c r="K930" s="481"/>
      <c r="M930" s="481"/>
    </row>
    <row r="931" spans="11:13" ht="15.75" customHeight="1" x14ac:dyDescent="0.25">
      <c r="K931" s="481"/>
      <c r="M931" s="481"/>
    </row>
    <row r="932" spans="11:13" ht="15.75" customHeight="1" x14ac:dyDescent="0.25">
      <c r="K932" s="481"/>
      <c r="M932" s="481"/>
    </row>
    <row r="933" spans="11:13" ht="15.75" customHeight="1" x14ac:dyDescent="0.25">
      <c r="K933" s="481"/>
      <c r="M933" s="481"/>
    </row>
    <row r="934" spans="11:13" ht="15.75" customHeight="1" x14ac:dyDescent="0.25">
      <c r="K934" s="481"/>
      <c r="M934" s="481"/>
    </row>
    <row r="935" spans="11:13" ht="15.75" customHeight="1" x14ac:dyDescent="0.25">
      <c r="K935" s="481"/>
      <c r="M935" s="481"/>
    </row>
    <row r="936" spans="11:13" ht="15.75" customHeight="1" x14ac:dyDescent="0.25">
      <c r="K936" s="481"/>
      <c r="M936" s="481"/>
    </row>
    <row r="937" spans="11:13" ht="15.75" customHeight="1" x14ac:dyDescent="0.25">
      <c r="K937" s="481"/>
      <c r="M937" s="481"/>
    </row>
    <row r="938" spans="11:13" ht="15.75" customHeight="1" x14ac:dyDescent="0.25">
      <c r="K938" s="481"/>
      <c r="M938" s="481"/>
    </row>
    <row r="939" spans="11:13" ht="15.75" customHeight="1" x14ac:dyDescent="0.25">
      <c r="K939" s="481"/>
      <c r="M939" s="481"/>
    </row>
    <row r="940" spans="11:13" ht="15.75" customHeight="1" x14ac:dyDescent="0.25">
      <c r="K940" s="481"/>
      <c r="M940" s="481"/>
    </row>
    <row r="941" spans="11:13" ht="15.75" customHeight="1" x14ac:dyDescent="0.25">
      <c r="K941" s="481"/>
      <c r="M941" s="481"/>
    </row>
    <row r="942" spans="11:13" ht="15.75" customHeight="1" x14ac:dyDescent="0.25">
      <c r="K942" s="481"/>
      <c r="M942" s="481"/>
    </row>
    <row r="943" spans="11:13" ht="15.75" customHeight="1" x14ac:dyDescent="0.25">
      <c r="K943" s="481"/>
      <c r="M943" s="481"/>
    </row>
    <row r="944" spans="11:13" ht="15.75" customHeight="1" x14ac:dyDescent="0.25">
      <c r="K944" s="481"/>
      <c r="M944" s="481"/>
    </row>
    <row r="945" spans="11:13" ht="15.75" customHeight="1" x14ac:dyDescent="0.25">
      <c r="K945" s="481"/>
      <c r="M945" s="481"/>
    </row>
    <row r="946" spans="11:13" ht="15.75" customHeight="1" x14ac:dyDescent="0.25">
      <c r="K946" s="481"/>
      <c r="M946" s="481"/>
    </row>
    <row r="947" spans="11:13" ht="15.75" customHeight="1" x14ac:dyDescent="0.25">
      <c r="K947" s="481"/>
      <c r="M947" s="481"/>
    </row>
    <row r="948" spans="11:13" ht="15.75" customHeight="1" x14ac:dyDescent="0.25">
      <c r="K948" s="481"/>
      <c r="M948" s="481"/>
    </row>
    <row r="949" spans="11:13" ht="15.75" customHeight="1" x14ac:dyDescent="0.25">
      <c r="K949" s="481"/>
      <c r="M949" s="481"/>
    </row>
    <row r="950" spans="11:13" ht="15.75" customHeight="1" x14ac:dyDescent="0.25">
      <c r="K950" s="481"/>
      <c r="M950" s="481"/>
    </row>
    <row r="951" spans="11:13" ht="15.75" customHeight="1" x14ac:dyDescent="0.25">
      <c r="K951" s="481"/>
      <c r="M951" s="481"/>
    </row>
    <row r="952" spans="11:13" ht="15.75" customHeight="1" x14ac:dyDescent="0.25">
      <c r="K952" s="481"/>
      <c r="M952" s="481"/>
    </row>
    <row r="953" spans="11:13" ht="15.75" customHeight="1" x14ac:dyDescent="0.25">
      <c r="K953" s="481"/>
      <c r="M953" s="481"/>
    </row>
    <row r="954" spans="11:13" ht="15.75" customHeight="1" x14ac:dyDescent="0.25">
      <c r="K954" s="481"/>
      <c r="M954" s="481"/>
    </row>
    <row r="955" spans="11:13" ht="15.75" customHeight="1" x14ac:dyDescent="0.25">
      <c r="K955" s="481"/>
      <c r="M955" s="481"/>
    </row>
    <row r="956" spans="11:13" ht="15.75" customHeight="1" x14ac:dyDescent="0.25">
      <c r="K956" s="481"/>
      <c r="M956" s="481"/>
    </row>
    <row r="957" spans="11:13" ht="15.75" customHeight="1" x14ac:dyDescent="0.25">
      <c r="K957" s="481"/>
      <c r="M957" s="481"/>
    </row>
    <row r="958" spans="11:13" ht="15.75" customHeight="1" x14ac:dyDescent="0.25">
      <c r="K958" s="481"/>
      <c r="M958" s="481"/>
    </row>
    <row r="959" spans="11:13" ht="15.75" customHeight="1" x14ac:dyDescent="0.25">
      <c r="K959" s="481"/>
      <c r="M959" s="481"/>
    </row>
    <row r="960" spans="11:13" ht="15.75" customHeight="1" x14ac:dyDescent="0.25">
      <c r="K960" s="481"/>
      <c r="M960" s="481"/>
    </row>
    <row r="961" spans="11:13" ht="15.75" customHeight="1" x14ac:dyDescent="0.25">
      <c r="K961" s="481"/>
      <c r="M961" s="481"/>
    </row>
    <row r="962" spans="11:13" ht="15.75" customHeight="1" x14ac:dyDescent="0.25">
      <c r="K962" s="481"/>
      <c r="M962" s="481"/>
    </row>
    <row r="963" spans="11:13" ht="15.75" customHeight="1" x14ac:dyDescent="0.25">
      <c r="K963" s="481"/>
      <c r="M963" s="481"/>
    </row>
    <row r="964" spans="11:13" ht="15.75" customHeight="1" x14ac:dyDescent="0.25">
      <c r="K964" s="481"/>
      <c r="M964" s="481"/>
    </row>
    <row r="965" spans="11:13" ht="15.75" customHeight="1" x14ac:dyDescent="0.25">
      <c r="K965" s="481"/>
      <c r="M965" s="481"/>
    </row>
    <row r="966" spans="11:13" ht="15.75" customHeight="1" x14ac:dyDescent="0.25">
      <c r="K966" s="481"/>
      <c r="M966" s="481"/>
    </row>
    <row r="967" spans="11:13" ht="15.75" customHeight="1" x14ac:dyDescent="0.25">
      <c r="K967" s="481"/>
      <c r="M967" s="481"/>
    </row>
    <row r="968" spans="11:13" ht="15.75" customHeight="1" x14ac:dyDescent="0.25">
      <c r="K968" s="481"/>
      <c r="M968" s="481"/>
    </row>
    <row r="969" spans="11:13" ht="15.75" customHeight="1" x14ac:dyDescent="0.25">
      <c r="K969" s="481"/>
      <c r="M969" s="481"/>
    </row>
    <row r="970" spans="11:13" ht="15.75" customHeight="1" x14ac:dyDescent="0.25">
      <c r="K970" s="481"/>
      <c r="M970" s="481"/>
    </row>
    <row r="971" spans="11:13" ht="15.75" customHeight="1" x14ac:dyDescent="0.25">
      <c r="K971" s="481"/>
      <c r="M971" s="481"/>
    </row>
    <row r="972" spans="11:13" ht="15.75" customHeight="1" x14ac:dyDescent="0.25">
      <c r="K972" s="481"/>
      <c r="M972" s="481"/>
    </row>
    <row r="973" spans="11:13" ht="15.75" customHeight="1" x14ac:dyDescent="0.25">
      <c r="K973" s="481"/>
      <c r="M973" s="481"/>
    </row>
    <row r="974" spans="11:13" ht="15.75" customHeight="1" x14ac:dyDescent="0.25">
      <c r="K974" s="481"/>
      <c r="M974" s="481"/>
    </row>
    <row r="975" spans="11:13" ht="15.75" customHeight="1" x14ac:dyDescent="0.25">
      <c r="K975" s="481"/>
      <c r="M975" s="481"/>
    </row>
    <row r="976" spans="11:13" ht="15.75" customHeight="1" x14ac:dyDescent="0.25">
      <c r="K976" s="481"/>
      <c r="M976" s="481"/>
    </row>
    <row r="977" spans="11:13" ht="15.75" customHeight="1" x14ac:dyDescent="0.25">
      <c r="K977" s="481"/>
      <c r="M977" s="481"/>
    </row>
    <row r="978" spans="11:13" ht="15.75" customHeight="1" x14ac:dyDescent="0.25">
      <c r="K978" s="481"/>
      <c r="M978" s="481"/>
    </row>
    <row r="979" spans="11:13" ht="15.75" customHeight="1" x14ac:dyDescent="0.25">
      <c r="K979" s="481"/>
      <c r="M979" s="481"/>
    </row>
    <row r="980" spans="11:13" ht="15.75" customHeight="1" x14ac:dyDescent="0.25">
      <c r="K980" s="481"/>
      <c r="M980" s="481"/>
    </row>
    <row r="981" spans="11:13" ht="15.75" customHeight="1" x14ac:dyDescent="0.25">
      <c r="K981" s="481"/>
      <c r="M981" s="481"/>
    </row>
    <row r="982" spans="11:13" ht="15.75" customHeight="1" x14ac:dyDescent="0.25">
      <c r="K982" s="481"/>
      <c r="M982" s="481"/>
    </row>
    <row r="983" spans="11:13" ht="15.75" customHeight="1" x14ac:dyDescent="0.25">
      <c r="K983" s="481"/>
      <c r="M983" s="481"/>
    </row>
    <row r="984" spans="11:13" ht="15.75" customHeight="1" x14ac:dyDescent="0.25">
      <c r="K984" s="481"/>
      <c r="M984" s="481"/>
    </row>
    <row r="985" spans="11:13" ht="15.75" customHeight="1" x14ac:dyDescent="0.25">
      <c r="K985" s="481"/>
      <c r="M985" s="481"/>
    </row>
    <row r="986" spans="11:13" ht="15.75" customHeight="1" x14ac:dyDescent="0.25">
      <c r="K986" s="481"/>
      <c r="M986" s="481"/>
    </row>
    <row r="987" spans="11:13" ht="15.75" customHeight="1" x14ac:dyDescent="0.25">
      <c r="K987" s="481"/>
      <c r="M987" s="481"/>
    </row>
    <row r="988" spans="11:13" ht="15.75" customHeight="1" x14ac:dyDescent="0.25">
      <c r="K988" s="481"/>
      <c r="M988" s="481"/>
    </row>
    <row r="989" spans="11:13" ht="15.75" customHeight="1" x14ac:dyDescent="0.25">
      <c r="K989" s="481"/>
      <c r="M989" s="481"/>
    </row>
    <row r="990" spans="11:13" ht="15.75" customHeight="1" x14ac:dyDescent="0.25">
      <c r="K990" s="481"/>
      <c r="M990" s="481"/>
    </row>
    <row r="991" spans="11:13" ht="15.75" customHeight="1" x14ac:dyDescent="0.25">
      <c r="K991" s="481"/>
      <c r="M991" s="481"/>
    </row>
    <row r="992" spans="11:13" ht="15.75" customHeight="1" x14ac:dyDescent="0.25">
      <c r="K992" s="481"/>
      <c r="M992" s="481"/>
    </row>
    <row r="993" spans="11:13" ht="15.75" customHeight="1" x14ac:dyDescent="0.25">
      <c r="K993" s="481"/>
      <c r="M993" s="481"/>
    </row>
    <row r="994" spans="11:13" ht="15.75" customHeight="1" x14ac:dyDescent="0.25">
      <c r="K994" s="481"/>
      <c r="M994" s="481"/>
    </row>
    <row r="995" spans="11:13" ht="15.75" customHeight="1" x14ac:dyDescent="0.25">
      <c r="K995" s="481"/>
      <c r="M995" s="481"/>
    </row>
    <row r="996" spans="11:13" ht="15.75" customHeight="1" x14ac:dyDescent="0.25">
      <c r="K996" s="481"/>
      <c r="M996" s="481"/>
    </row>
    <row r="997" spans="11:13" ht="15.75" customHeight="1" x14ac:dyDescent="0.25">
      <c r="K997" s="481"/>
      <c r="M997" s="481"/>
    </row>
    <row r="998" spans="11:13" ht="15.75" customHeight="1" x14ac:dyDescent="0.25">
      <c r="K998" s="481"/>
      <c r="M998" s="481"/>
    </row>
    <row r="999" spans="11:13" ht="15.75" customHeight="1" x14ac:dyDescent="0.25">
      <c r="K999" s="481"/>
      <c r="M999" s="481"/>
    </row>
    <row r="1000" spans="11:13" ht="15.75" customHeight="1" x14ac:dyDescent="0.25">
      <c r="K1000" s="481"/>
      <c r="M1000" s="481"/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/>
  </sheetViews>
  <sheetFormatPr defaultColWidth="12.625" defaultRowHeight="15" customHeight="1" x14ac:dyDescent="0.2"/>
  <cols>
    <col min="1" max="1" width="9.375" customWidth="1"/>
    <col min="2" max="2" width="13.75" customWidth="1"/>
    <col min="3" max="10" width="9.375" customWidth="1"/>
    <col min="11" max="11" width="1.75" customWidth="1"/>
    <col min="12" max="12" width="10.75" customWidth="1"/>
    <col min="13" max="13" width="3.875" customWidth="1"/>
    <col min="14" max="14" width="9.375" customWidth="1"/>
    <col min="15" max="15" width="9.625" customWidth="1"/>
    <col min="16" max="18" width="9.375" customWidth="1"/>
    <col min="19" max="20" width="11.875" customWidth="1"/>
    <col min="21" max="26" width="9.375" customWidth="1"/>
  </cols>
  <sheetData>
    <row r="1" spans="1:23" x14ac:dyDescent="0.25">
      <c r="A1" s="482"/>
      <c r="B1" s="483" t="s">
        <v>242</v>
      </c>
      <c r="C1" s="484"/>
      <c r="D1" s="484"/>
      <c r="E1" s="485"/>
    </row>
    <row r="2" spans="1:23" x14ac:dyDescent="0.25">
      <c r="A2" s="486"/>
      <c r="B2" s="487"/>
      <c r="C2" s="487"/>
      <c r="D2" s="487"/>
      <c r="E2" s="488" t="s">
        <v>243</v>
      </c>
      <c r="J2" s="368" t="s">
        <v>244</v>
      </c>
    </row>
    <row r="3" spans="1:23" ht="45" x14ac:dyDescent="0.25">
      <c r="A3" s="489"/>
      <c r="B3" s="490" t="s">
        <v>245</v>
      </c>
      <c r="C3" s="490" t="s">
        <v>246</v>
      </c>
      <c r="D3" s="490" t="s">
        <v>247</v>
      </c>
      <c r="E3" s="491" t="s">
        <v>248</v>
      </c>
      <c r="G3" s="492"/>
      <c r="H3" s="379"/>
      <c r="I3" s="493" t="s">
        <v>249</v>
      </c>
      <c r="J3" s="494" t="s">
        <v>250</v>
      </c>
      <c r="K3" s="379"/>
      <c r="R3" s="368" t="s">
        <v>251</v>
      </c>
      <c r="T3" s="3" t="s">
        <v>123</v>
      </c>
      <c r="U3" s="3" t="s">
        <v>89</v>
      </c>
      <c r="V3" s="3" t="s">
        <v>123</v>
      </c>
      <c r="W3" s="3" t="s">
        <v>89</v>
      </c>
    </row>
    <row r="4" spans="1:23" ht="26.25" x14ac:dyDescent="0.25">
      <c r="A4" s="495" t="s">
        <v>252</v>
      </c>
      <c r="B4" s="384">
        <v>0.152</v>
      </c>
      <c r="C4" s="384">
        <v>152</v>
      </c>
      <c r="D4" s="384">
        <v>662.5</v>
      </c>
      <c r="E4" s="496">
        <v>44.7</v>
      </c>
      <c r="F4" s="497" t="s">
        <v>253</v>
      </c>
      <c r="G4" s="498" t="s">
        <v>254</v>
      </c>
      <c r="H4" s="499" t="s">
        <v>255</v>
      </c>
      <c r="I4" s="500">
        <v>599</v>
      </c>
      <c r="J4" s="501">
        <v>18.399999999999999</v>
      </c>
      <c r="K4" s="499"/>
      <c r="L4" s="502"/>
      <c r="O4" s="503" t="s">
        <v>256</v>
      </c>
      <c r="P4" s="504" t="s">
        <v>116</v>
      </c>
      <c r="Q4" s="504" t="s">
        <v>257</v>
      </c>
      <c r="R4" s="504" t="s">
        <v>222</v>
      </c>
      <c r="S4" s="504" t="s">
        <v>258</v>
      </c>
      <c r="T4" s="1"/>
    </row>
    <row r="5" spans="1:23" x14ac:dyDescent="0.25">
      <c r="A5" s="495" t="s">
        <v>259</v>
      </c>
      <c r="B5" s="384">
        <v>0.14499999999999999</v>
      </c>
      <c r="C5" s="384">
        <v>145</v>
      </c>
      <c r="D5" s="384">
        <v>632</v>
      </c>
      <c r="E5" s="496">
        <v>46.3</v>
      </c>
      <c r="F5" s="497" t="s">
        <v>254</v>
      </c>
      <c r="G5" s="498" t="s">
        <v>254</v>
      </c>
      <c r="H5" s="499" t="s">
        <v>260</v>
      </c>
      <c r="I5" s="500">
        <v>104</v>
      </c>
      <c r="J5" s="501">
        <v>17.899999999999999</v>
      </c>
      <c r="K5" s="499"/>
      <c r="L5" s="502"/>
      <c r="O5" s="505">
        <v>1</v>
      </c>
      <c r="P5" s="465" t="s">
        <v>220</v>
      </c>
      <c r="Q5" s="465">
        <v>0</v>
      </c>
      <c r="R5" s="465">
        <v>20</v>
      </c>
      <c r="S5" s="465">
        <v>100</v>
      </c>
      <c r="T5" s="1"/>
    </row>
    <row r="6" spans="1:23" x14ac:dyDescent="0.25">
      <c r="A6" s="495" t="s">
        <v>261</v>
      </c>
      <c r="B6" s="384">
        <v>0.159</v>
      </c>
      <c r="C6" s="384">
        <v>159</v>
      </c>
      <c r="D6" s="384">
        <v>693</v>
      </c>
      <c r="E6" s="496">
        <v>57.1</v>
      </c>
      <c r="F6" s="497" t="s">
        <v>253</v>
      </c>
      <c r="G6" s="498" t="s">
        <v>254</v>
      </c>
      <c r="H6" s="499" t="s">
        <v>262</v>
      </c>
      <c r="I6" s="500">
        <v>804</v>
      </c>
      <c r="J6" s="501">
        <v>50.7</v>
      </c>
      <c r="K6" s="499"/>
      <c r="L6" s="502"/>
      <c r="O6" s="505">
        <v>2</v>
      </c>
      <c r="P6" s="465" t="s">
        <v>220</v>
      </c>
      <c r="Q6" s="465">
        <v>0</v>
      </c>
      <c r="R6" s="465">
        <v>12</v>
      </c>
      <c r="S6" s="465">
        <v>110</v>
      </c>
      <c r="T6" s="1"/>
    </row>
    <row r="7" spans="1:23" x14ac:dyDescent="0.25">
      <c r="A7" s="495" t="s">
        <v>263</v>
      </c>
      <c r="B7" s="384">
        <v>0.16</v>
      </c>
      <c r="C7" s="384">
        <v>160</v>
      </c>
      <c r="D7" s="384">
        <v>697.4</v>
      </c>
      <c r="E7" s="496">
        <v>48.7</v>
      </c>
      <c r="F7" s="497" t="s">
        <v>253</v>
      </c>
      <c r="G7" s="492" t="s">
        <v>264</v>
      </c>
      <c r="H7" s="379" t="s">
        <v>265</v>
      </c>
      <c r="I7" s="506">
        <v>759</v>
      </c>
      <c r="J7" s="507">
        <v>30.8</v>
      </c>
      <c r="K7" s="379"/>
      <c r="O7" s="505">
        <v>3</v>
      </c>
      <c r="P7" s="465" t="s">
        <v>220</v>
      </c>
      <c r="Q7" s="465">
        <v>0</v>
      </c>
      <c r="R7" s="465">
        <v>16</v>
      </c>
      <c r="S7" s="465">
        <v>191</v>
      </c>
      <c r="T7" s="1"/>
      <c r="U7" s="3">
        <f>+AVERAGE(S5:S7)</f>
        <v>133.66666666666666</v>
      </c>
    </row>
    <row r="8" spans="1:23" x14ac:dyDescent="0.25">
      <c r="A8" s="508" t="s">
        <v>266</v>
      </c>
      <c r="B8" s="506">
        <v>0.14599999999999999</v>
      </c>
      <c r="C8" s="506">
        <v>146</v>
      </c>
      <c r="D8" s="506">
        <v>636.4</v>
      </c>
      <c r="E8" s="507">
        <v>130.9</v>
      </c>
      <c r="F8" s="492" t="s">
        <v>264</v>
      </c>
      <c r="G8" s="492" t="s">
        <v>264</v>
      </c>
      <c r="H8" s="379" t="s">
        <v>267</v>
      </c>
      <c r="I8" s="506">
        <v>660</v>
      </c>
      <c r="J8" s="507">
        <v>38.799999999999997</v>
      </c>
      <c r="K8" s="379"/>
      <c r="O8" s="505">
        <v>4</v>
      </c>
      <c r="P8" s="465" t="s">
        <v>220</v>
      </c>
      <c r="Q8" s="465">
        <v>0</v>
      </c>
      <c r="R8" s="465">
        <v>12</v>
      </c>
      <c r="S8" s="465">
        <v>566</v>
      </c>
      <c r="T8" s="1">
        <f>STDEVA(R5:R8)</f>
        <v>3.8297084310253524</v>
      </c>
      <c r="U8" s="1">
        <f>STDEVA(S5:S7)</f>
        <v>49.90323970779184</v>
      </c>
    </row>
    <row r="9" spans="1:23" x14ac:dyDescent="0.25">
      <c r="A9" s="508" t="s">
        <v>268</v>
      </c>
      <c r="B9" s="506">
        <v>0.151</v>
      </c>
      <c r="C9" s="506">
        <v>151</v>
      </c>
      <c r="D9" s="506">
        <v>658.2</v>
      </c>
      <c r="E9" s="507">
        <v>64.400000000000006</v>
      </c>
      <c r="F9" s="492" t="s">
        <v>264</v>
      </c>
      <c r="G9" s="492" t="s">
        <v>264</v>
      </c>
      <c r="H9" s="379" t="s">
        <v>269</v>
      </c>
      <c r="I9" s="506">
        <v>665</v>
      </c>
      <c r="J9" s="507">
        <v>17.8</v>
      </c>
      <c r="K9" s="379"/>
      <c r="O9" s="505">
        <v>6</v>
      </c>
      <c r="P9" s="465" t="s">
        <v>220</v>
      </c>
      <c r="Q9" s="465">
        <v>2</v>
      </c>
      <c r="R9" s="465">
        <v>10</v>
      </c>
      <c r="S9" s="465">
        <v>808</v>
      </c>
      <c r="T9" s="1">
        <f>T8/2</f>
        <v>1.9148542155126762</v>
      </c>
      <c r="U9" s="1">
        <f>U8/1.73</f>
        <v>28.845803299301643</v>
      </c>
    </row>
    <row r="10" spans="1:23" x14ac:dyDescent="0.25">
      <c r="A10" s="508" t="s">
        <v>270</v>
      </c>
      <c r="B10" s="506">
        <v>0.14699999999999999</v>
      </c>
      <c r="C10" s="506">
        <v>147</v>
      </c>
      <c r="D10" s="506">
        <v>640.70000000000005</v>
      </c>
      <c r="E10" s="507">
        <v>77.3</v>
      </c>
      <c r="F10" s="492" t="s">
        <v>264</v>
      </c>
      <c r="G10" s="492" t="s">
        <v>264</v>
      </c>
      <c r="H10" s="379" t="s">
        <v>271</v>
      </c>
      <c r="I10" s="506">
        <v>131</v>
      </c>
      <c r="J10" s="507">
        <v>35.1</v>
      </c>
      <c r="K10" s="379"/>
      <c r="O10" s="505">
        <v>7</v>
      </c>
      <c r="P10" s="465" t="s">
        <v>220</v>
      </c>
      <c r="Q10" s="465">
        <v>2</v>
      </c>
      <c r="R10" s="465">
        <v>11</v>
      </c>
      <c r="S10" s="465">
        <v>668</v>
      </c>
      <c r="T10" s="1"/>
    </row>
    <row r="11" spans="1:23" x14ac:dyDescent="0.25">
      <c r="A11" s="508" t="s">
        <v>272</v>
      </c>
      <c r="B11" s="506">
        <v>0.16600000000000001</v>
      </c>
      <c r="C11" s="506">
        <v>166</v>
      </c>
      <c r="D11" s="506">
        <v>723.5</v>
      </c>
      <c r="E11" s="507">
        <v>46.6</v>
      </c>
      <c r="F11" s="492" t="s">
        <v>264</v>
      </c>
      <c r="G11" s="498" t="s">
        <v>273</v>
      </c>
      <c r="H11" s="499" t="s">
        <v>274</v>
      </c>
      <c r="I11" s="500">
        <v>883</v>
      </c>
      <c r="J11" s="501">
        <v>15.8</v>
      </c>
      <c r="K11" s="499"/>
      <c r="O11" s="505">
        <v>8</v>
      </c>
      <c r="P11" s="465" t="s">
        <v>220</v>
      </c>
      <c r="Q11" s="465">
        <v>2</v>
      </c>
      <c r="R11" s="465">
        <v>10</v>
      </c>
      <c r="S11" s="465">
        <v>920</v>
      </c>
      <c r="T11" s="1"/>
    </row>
    <row r="12" spans="1:23" x14ac:dyDescent="0.25">
      <c r="A12" s="495" t="s">
        <v>275</v>
      </c>
      <c r="B12" s="384">
        <v>0.14599999999999999</v>
      </c>
      <c r="C12" s="384">
        <v>146</v>
      </c>
      <c r="D12" s="384">
        <v>636.4</v>
      </c>
      <c r="E12" s="496">
        <v>44.2</v>
      </c>
      <c r="F12" s="497" t="s">
        <v>273</v>
      </c>
      <c r="G12" s="498" t="s">
        <v>273</v>
      </c>
      <c r="H12" s="499" t="s">
        <v>276</v>
      </c>
      <c r="I12" s="500">
        <v>111</v>
      </c>
      <c r="J12" s="501">
        <v>24.9</v>
      </c>
      <c r="K12" s="499"/>
      <c r="O12" s="505">
        <v>9</v>
      </c>
      <c r="P12" s="465" t="s">
        <v>220</v>
      </c>
      <c r="Q12" s="465">
        <v>2</v>
      </c>
      <c r="R12" s="465">
        <v>18</v>
      </c>
      <c r="S12" s="465">
        <v>130</v>
      </c>
      <c r="T12" s="1">
        <f t="shared" ref="T12:U12" si="0">STDEVA(R9:R12)</f>
        <v>3.8622100754188224</v>
      </c>
      <c r="U12" s="1">
        <f t="shared" si="0"/>
        <v>349.86616488785154</v>
      </c>
    </row>
    <row r="13" spans="1:23" x14ac:dyDescent="0.25">
      <c r="A13" s="495" t="s">
        <v>277</v>
      </c>
      <c r="B13" s="384">
        <v>0.151</v>
      </c>
      <c r="C13" s="384">
        <v>151</v>
      </c>
      <c r="D13" s="384">
        <v>658.2</v>
      </c>
      <c r="E13" s="496">
        <v>42.8</v>
      </c>
      <c r="F13" s="497" t="s">
        <v>273</v>
      </c>
      <c r="G13" s="498" t="s">
        <v>273</v>
      </c>
      <c r="H13" s="499" t="s">
        <v>278</v>
      </c>
      <c r="I13" s="500">
        <v>127</v>
      </c>
      <c r="J13" s="501">
        <v>13.7</v>
      </c>
      <c r="K13" s="499"/>
      <c r="O13" s="505">
        <v>10</v>
      </c>
      <c r="P13" s="465" t="s">
        <v>217</v>
      </c>
      <c r="Q13" s="465">
        <v>0</v>
      </c>
      <c r="R13" s="465">
        <v>14</v>
      </c>
      <c r="S13" s="465">
        <v>150</v>
      </c>
      <c r="T13" s="1">
        <f t="shared" ref="T13:U13" si="1">T12/2</f>
        <v>1.9311050377094112</v>
      </c>
      <c r="U13" s="1">
        <f t="shared" si="1"/>
        <v>174.93308244392577</v>
      </c>
    </row>
    <row r="14" spans="1:23" x14ac:dyDescent="0.25">
      <c r="A14" s="495" t="s">
        <v>279</v>
      </c>
      <c r="B14" s="384">
        <v>0.14599999999999999</v>
      </c>
      <c r="C14" s="384">
        <v>146</v>
      </c>
      <c r="D14" s="384">
        <v>636.4</v>
      </c>
      <c r="E14" s="496">
        <v>52</v>
      </c>
      <c r="F14" s="497" t="s">
        <v>273</v>
      </c>
      <c r="G14" s="498" t="s">
        <v>273</v>
      </c>
      <c r="H14" s="499" t="s">
        <v>280</v>
      </c>
      <c r="I14" s="500">
        <v>105</v>
      </c>
      <c r="J14" s="501">
        <v>33.299999999999997</v>
      </c>
      <c r="K14" s="499"/>
      <c r="O14" s="505">
        <v>11</v>
      </c>
      <c r="P14" s="465" t="s">
        <v>217</v>
      </c>
      <c r="Q14" s="465">
        <v>0</v>
      </c>
      <c r="R14" s="465">
        <v>16</v>
      </c>
      <c r="S14" s="465">
        <v>120</v>
      </c>
      <c r="T14" s="1"/>
    </row>
    <row r="15" spans="1:23" x14ac:dyDescent="0.25">
      <c r="A15" s="495" t="s">
        <v>281</v>
      </c>
      <c r="B15" s="384">
        <v>0.14000000000000001</v>
      </c>
      <c r="C15" s="384">
        <v>140</v>
      </c>
      <c r="D15" s="384">
        <v>610.20000000000005</v>
      </c>
      <c r="E15" s="496">
        <v>128.5</v>
      </c>
      <c r="F15" s="497" t="s">
        <v>273</v>
      </c>
      <c r="G15" s="492" t="s">
        <v>282</v>
      </c>
      <c r="H15" s="379" t="s">
        <v>283</v>
      </c>
      <c r="I15" s="506">
        <v>113</v>
      </c>
      <c r="J15" s="507">
        <v>28</v>
      </c>
      <c r="K15" s="379"/>
      <c r="O15" s="505">
        <v>12</v>
      </c>
      <c r="P15" s="465" t="s">
        <v>217</v>
      </c>
      <c r="Q15" s="465">
        <v>0</v>
      </c>
      <c r="R15" s="465">
        <v>12</v>
      </c>
      <c r="S15" s="465">
        <v>170</v>
      </c>
      <c r="T15" s="1">
        <f t="shared" ref="T15:U15" si="2">STDEVA(R13:R15)</f>
        <v>2</v>
      </c>
      <c r="U15" s="1">
        <f t="shared" si="2"/>
        <v>25.166114784235809</v>
      </c>
    </row>
    <row r="16" spans="1:23" x14ac:dyDescent="0.25">
      <c r="A16" s="508" t="s">
        <v>284</v>
      </c>
      <c r="B16" s="506">
        <v>0.14499999999999999</v>
      </c>
      <c r="C16" s="506">
        <v>145</v>
      </c>
      <c r="D16" s="506">
        <v>632</v>
      </c>
      <c r="E16" s="507">
        <v>92.6</v>
      </c>
      <c r="F16" s="492" t="s">
        <v>282</v>
      </c>
      <c r="G16" s="492" t="s">
        <v>282</v>
      </c>
      <c r="H16" s="379" t="s">
        <v>285</v>
      </c>
      <c r="I16" s="509">
        <v>993</v>
      </c>
      <c r="J16" s="507">
        <v>36.9</v>
      </c>
      <c r="K16" s="379"/>
      <c r="O16" s="505">
        <v>14</v>
      </c>
      <c r="P16" s="465" t="s">
        <v>217</v>
      </c>
      <c r="Q16" s="465">
        <v>2</v>
      </c>
      <c r="R16" s="465">
        <v>18</v>
      </c>
      <c r="S16" s="465">
        <v>574</v>
      </c>
      <c r="T16" s="1">
        <v>1</v>
      </c>
      <c r="U16" s="3">
        <f>U15/1.73</f>
        <v>14.546887158517809</v>
      </c>
    </row>
    <row r="17" spans="1:22" x14ac:dyDescent="0.25">
      <c r="A17" s="508" t="s">
        <v>286</v>
      </c>
      <c r="B17" s="506">
        <v>0.152</v>
      </c>
      <c r="C17" s="506">
        <v>152</v>
      </c>
      <c r="D17" s="506">
        <v>662.5</v>
      </c>
      <c r="E17" s="507">
        <v>203.6</v>
      </c>
      <c r="F17" s="492" t="s">
        <v>282</v>
      </c>
      <c r="G17" s="492" t="s">
        <v>282</v>
      </c>
      <c r="H17" s="490" t="s">
        <v>287</v>
      </c>
      <c r="I17" s="509">
        <v>110</v>
      </c>
      <c r="J17" s="510">
        <v>29.6</v>
      </c>
      <c r="K17" s="379"/>
      <c r="O17" s="505">
        <v>15</v>
      </c>
      <c r="P17" s="465" t="s">
        <v>217</v>
      </c>
      <c r="Q17" s="465">
        <v>2</v>
      </c>
      <c r="R17" s="465">
        <v>22</v>
      </c>
      <c r="S17" s="465">
        <v>817</v>
      </c>
      <c r="T17" s="1"/>
    </row>
    <row r="18" spans="1:22" x14ac:dyDescent="0.25">
      <c r="A18" s="511" t="s">
        <v>288</v>
      </c>
      <c r="B18" s="512">
        <v>0.151</v>
      </c>
      <c r="C18" s="512">
        <v>151</v>
      </c>
      <c r="D18" s="512">
        <v>658.2</v>
      </c>
      <c r="E18" s="510">
        <v>150.9</v>
      </c>
      <c r="F18" s="492" t="s">
        <v>282</v>
      </c>
      <c r="G18" s="379"/>
      <c r="H18" s="379"/>
      <c r="I18" s="379"/>
      <c r="J18" s="379"/>
      <c r="K18" s="379"/>
      <c r="O18" s="505">
        <v>16</v>
      </c>
      <c r="P18" s="465" t="s">
        <v>217</v>
      </c>
      <c r="Q18" s="465">
        <v>2</v>
      </c>
      <c r="R18" s="465">
        <v>18</v>
      </c>
      <c r="S18" s="465">
        <v>751</v>
      </c>
      <c r="T18" s="1">
        <f t="shared" ref="T18:U18" si="3">STDEVA(R16:R18)</f>
        <v>2.3094010767585034</v>
      </c>
      <c r="U18" s="1">
        <f t="shared" si="3"/>
        <v>125.65428763078481</v>
      </c>
    </row>
    <row r="19" spans="1:22" x14ac:dyDescent="0.25">
      <c r="T19" s="3">
        <f t="shared" ref="T19:U19" si="4">T18/2</f>
        <v>1.1547005383792517</v>
      </c>
      <c r="U19" s="3">
        <f t="shared" si="4"/>
        <v>62.827143815392404</v>
      </c>
    </row>
    <row r="20" spans="1:22" x14ac:dyDescent="0.25">
      <c r="B20" s="567" t="s">
        <v>289</v>
      </c>
      <c r="C20" s="568"/>
      <c r="D20" s="568"/>
      <c r="E20" s="568"/>
      <c r="F20" s="513"/>
      <c r="G20" s="567" t="s">
        <v>290</v>
      </c>
      <c r="H20" s="568"/>
      <c r="I20" s="568"/>
      <c r="J20" s="568"/>
    </row>
    <row r="21" spans="1:22" ht="15.75" customHeight="1" x14ac:dyDescent="0.25">
      <c r="B21" s="490" t="s">
        <v>247</v>
      </c>
      <c r="C21" s="491" t="s">
        <v>248</v>
      </c>
      <c r="D21" s="514" t="s">
        <v>247</v>
      </c>
      <c r="E21" s="515" t="s">
        <v>248</v>
      </c>
      <c r="G21" s="516" t="s">
        <v>247</v>
      </c>
      <c r="H21" s="517" t="s">
        <v>248</v>
      </c>
      <c r="I21" s="514" t="s">
        <v>247</v>
      </c>
      <c r="J21" s="515" t="s">
        <v>248</v>
      </c>
    </row>
    <row r="22" spans="1:22" ht="15.75" customHeight="1" x14ac:dyDescent="0.25">
      <c r="B22" s="384">
        <v>662.5</v>
      </c>
      <c r="C22" s="496">
        <v>44.7</v>
      </c>
      <c r="D22" s="518">
        <v>599</v>
      </c>
      <c r="E22" s="519">
        <v>18.399999999999999</v>
      </c>
      <c r="G22" s="520">
        <v>636.4</v>
      </c>
      <c r="H22" s="521">
        <v>130.9</v>
      </c>
      <c r="I22" s="518">
        <v>759</v>
      </c>
      <c r="J22" s="519">
        <v>30.8</v>
      </c>
      <c r="P22" s="559" t="s">
        <v>153</v>
      </c>
      <c r="Q22" s="570" t="s">
        <v>291</v>
      </c>
      <c r="R22" s="549"/>
      <c r="S22" s="549"/>
      <c r="T22" s="549"/>
      <c r="U22" s="549"/>
      <c r="V22" s="550"/>
    </row>
    <row r="23" spans="1:22" ht="15.75" customHeight="1" x14ac:dyDescent="0.25">
      <c r="B23" s="384">
        <v>632</v>
      </c>
      <c r="C23" s="496">
        <v>46.3</v>
      </c>
      <c r="D23" s="518">
        <v>104</v>
      </c>
      <c r="E23" s="519">
        <v>17.899999999999999</v>
      </c>
      <c r="G23" s="520">
        <v>658.2</v>
      </c>
      <c r="H23" s="521">
        <v>64.400000000000006</v>
      </c>
      <c r="I23" s="518">
        <v>660</v>
      </c>
      <c r="J23" s="519">
        <v>38.799999999999997</v>
      </c>
      <c r="P23" s="569"/>
      <c r="Q23" s="570" t="s">
        <v>292</v>
      </c>
      <c r="R23" s="549"/>
      <c r="S23" s="550"/>
      <c r="T23" s="570" t="s">
        <v>293</v>
      </c>
      <c r="U23" s="549"/>
      <c r="V23" s="550"/>
    </row>
    <row r="24" spans="1:22" ht="15.75" customHeight="1" x14ac:dyDescent="0.25">
      <c r="B24" s="384">
        <v>693</v>
      </c>
      <c r="C24" s="496">
        <v>57.1</v>
      </c>
      <c r="D24" s="518">
        <v>804</v>
      </c>
      <c r="E24" s="519">
        <v>50.7</v>
      </c>
      <c r="G24" s="520">
        <v>640.70000000000005</v>
      </c>
      <c r="H24" s="521">
        <v>77.3</v>
      </c>
      <c r="I24" s="518">
        <v>665</v>
      </c>
      <c r="J24" s="519">
        <v>17.8</v>
      </c>
      <c r="P24" s="560"/>
      <c r="Q24" s="522" t="s">
        <v>294</v>
      </c>
      <c r="R24" s="522" t="s">
        <v>295</v>
      </c>
      <c r="S24" s="522" t="s">
        <v>296</v>
      </c>
      <c r="T24" s="522" t="s">
        <v>294</v>
      </c>
      <c r="U24" s="522" t="s">
        <v>295</v>
      </c>
      <c r="V24" s="522" t="s">
        <v>296</v>
      </c>
    </row>
    <row r="25" spans="1:22" ht="15.75" customHeight="1" x14ac:dyDescent="0.25">
      <c r="B25" s="384">
        <v>697.4</v>
      </c>
      <c r="C25" s="496">
        <v>48.7</v>
      </c>
      <c r="D25" s="523"/>
      <c r="E25" s="523"/>
      <c r="G25" s="520">
        <v>723.5</v>
      </c>
      <c r="H25" s="521">
        <v>46.6</v>
      </c>
      <c r="I25" s="518">
        <v>131</v>
      </c>
      <c r="J25" s="519">
        <v>35.1</v>
      </c>
      <c r="P25" s="400" t="s">
        <v>165</v>
      </c>
      <c r="Q25" s="400" t="s">
        <v>297</v>
      </c>
      <c r="R25" s="400" t="s">
        <v>298</v>
      </c>
      <c r="S25" s="400" t="s">
        <v>299</v>
      </c>
      <c r="T25" s="400" t="s">
        <v>300</v>
      </c>
      <c r="U25" s="400" t="s">
        <v>301</v>
      </c>
      <c r="V25" s="400" t="s">
        <v>302</v>
      </c>
    </row>
    <row r="26" spans="1:22" ht="15.75" customHeight="1" x14ac:dyDescent="0.25">
      <c r="B26" s="3">
        <f t="shared" ref="B26:C26" si="5">AVERAGE(B22:B25)</f>
        <v>671.22500000000002</v>
      </c>
      <c r="C26" s="3">
        <f t="shared" si="5"/>
        <v>49.2</v>
      </c>
      <c r="D26" s="523">
        <f t="shared" ref="D26:E26" si="6">AVERAGE(D22:D24)</f>
        <v>502.33333333333331</v>
      </c>
      <c r="E26" s="523">
        <f t="shared" si="6"/>
        <v>29</v>
      </c>
      <c r="G26" s="524">
        <f t="shared" ref="G26:J26" si="7">AVERAGE(G22:G25)</f>
        <v>664.7</v>
      </c>
      <c r="H26" s="524">
        <f t="shared" si="7"/>
        <v>79.800000000000011</v>
      </c>
      <c r="I26" s="523">
        <f t="shared" si="7"/>
        <v>553.75</v>
      </c>
      <c r="J26" s="523">
        <f t="shared" si="7"/>
        <v>30.625</v>
      </c>
      <c r="P26" s="400" t="s">
        <v>303</v>
      </c>
      <c r="Q26" s="525" t="s">
        <v>304</v>
      </c>
      <c r="R26" s="400" t="s">
        <v>305</v>
      </c>
      <c r="S26" s="525" t="s">
        <v>306</v>
      </c>
      <c r="T26" s="525" t="s">
        <v>307</v>
      </c>
      <c r="U26" s="400" t="s">
        <v>308</v>
      </c>
      <c r="V26" s="525" t="s">
        <v>309</v>
      </c>
    </row>
    <row r="27" spans="1:22" ht="15.75" customHeight="1" x14ac:dyDescent="0.25">
      <c r="A27" s="3" t="s">
        <v>90</v>
      </c>
      <c r="B27" s="3">
        <f t="shared" ref="B27:E27" si="8">STDEVA(B22:B25)</f>
        <v>30.408373298594356</v>
      </c>
      <c r="C27" s="3">
        <f t="shared" si="8"/>
        <v>5.5172456896534889</v>
      </c>
      <c r="D27" s="523">
        <f t="shared" si="8"/>
        <v>359.87266266463382</v>
      </c>
      <c r="E27" s="523">
        <f t="shared" si="8"/>
        <v>18.794414063758413</v>
      </c>
      <c r="G27" s="524">
        <f t="shared" ref="G27:J27" si="9">STDEVA(G22:G25)</f>
        <v>40.317820708300516</v>
      </c>
      <c r="H27" s="524">
        <f t="shared" si="9"/>
        <v>36.31739711671711</v>
      </c>
      <c r="I27" s="523">
        <f t="shared" si="9"/>
        <v>285.48832433802494</v>
      </c>
      <c r="J27" s="523">
        <f t="shared" si="9"/>
        <v>9.1536422623274269</v>
      </c>
      <c r="P27" s="400" t="s">
        <v>196</v>
      </c>
      <c r="Q27" s="400" t="s">
        <v>310</v>
      </c>
      <c r="R27" s="400" t="s">
        <v>311</v>
      </c>
      <c r="S27" s="400" t="s">
        <v>312</v>
      </c>
      <c r="T27" s="400" t="s">
        <v>313</v>
      </c>
      <c r="U27" s="400" t="s">
        <v>314</v>
      </c>
      <c r="V27" s="400" t="s">
        <v>315</v>
      </c>
    </row>
    <row r="28" spans="1:22" ht="15.75" customHeight="1" x14ac:dyDescent="0.25">
      <c r="A28" s="3" t="s">
        <v>24</v>
      </c>
      <c r="B28" s="3">
        <f t="shared" ref="B28:C28" si="10">B27/2</f>
        <v>15.204186649297178</v>
      </c>
      <c r="C28" s="3">
        <f t="shared" si="10"/>
        <v>2.7586228448267445</v>
      </c>
      <c r="D28" s="523">
        <f>D27/1.73</f>
        <v>208.01888015296754</v>
      </c>
      <c r="E28" s="523">
        <f>E27/1.732</f>
        <v>10.851278327805089</v>
      </c>
      <c r="G28" s="524">
        <f t="shared" ref="G28:J28" si="11">G27/2</f>
        <v>20.158910354150258</v>
      </c>
      <c r="H28" s="524">
        <f t="shared" si="11"/>
        <v>18.158698558358555</v>
      </c>
      <c r="I28" s="523">
        <f t="shared" si="11"/>
        <v>142.74416216901247</v>
      </c>
      <c r="J28" s="523">
        <f t="shared" si="11"/>
        <v>4.5768211311637135</v>
      </c>
      <c r="P28" s="400" t="s">
        <v>205</v>
      </c>
      <c r="Q28" s="525" t="s">
        <v>316</v>
      </c>
      <c r="R28" s="400" t="s">
        <v>317</v>
      </c>
      <c r="S28" s="525" t="s">
        <v>318</v>
      </c>
      <c r="T28" s="525" t="s">
        <v>319</v>
      </c>
      <c r="U28" s="400" t="s">
        <v>320</v>
      </c>
      <c r="V28" s="525" t="s">
        <v>321</v>
      </c>
    </row>
    <row r="29" spans="1:22" ht="15.75" customHeight="1" x14ac:dyDescent="0.25">
      <c r="B29" s="3" t="s">
        <v>322</v>
      </c>
      <c r="E29" s="3" t="s">
        <v>323</v>
      </c>
      <c r="G29" s="3" t="s">
        <v>324</v>
      </c>
      <c r="I29" s="3" t="s">
        <v>323</v>
      </c>
    </row>
    <row r="30" spans="1:22" ht="15.75" customHeight="1" x14ac:dyDescent="0.25">
      <c r="B30" s="567" t="s">
        <v>325</v>
      </c>
      <c r="C30" s="568"/>
      <c r="D30" s="568"/>
      <c r="E30" s="568"/>
      <c r="G30" s="567" t="s">
        <v>326</v>
      </c>
      <c r="H30" s="568"/>
      <c r="I30" s="568"/>
      <c r="J30" s="568"/>
    </row>
    <row r="31" spans="1:22" ht="15.75" customHeight="1" x14ac:dyDescent="0.25">
      <c r="B31" s="490" t="s">
        <v>247</v>
      </c>
      <c r="C31" s="491" t="s">
        <v>248</v>
      </c>
      <c r="D31" s="514" t="s">
        <v>247</v>
      </c>
      <c r="E31" s="515" t="s">
        <v>248</v>
      </c>
      <c r="G31" s="490" t="s">
        <v>247</v>
      </c>
      <c r="H31" s="491" t="s">
        <v>248</v>
      </c>
      <c r="I31" s="514" t="s">
        <v>247</v>
      </c>
      <c r="J31" s="515" t="s">
        <v>248</v>
      </c>
      <c r="P31" s="526" t="s">
        <v>324</v>
      </c>
      <c r="S31" s="3" t="s">
        <v>327</v>
      </c>
      <c r="T31" s="526" t="s">
        <v>328</v>
      </c>
      <c r="U31" s="526" t="s">
        <v>329</v>
      </c>
    </row>
    <row r="32" spans="1:22" ht="15.75" customHeight="1" x14ac:dyDescent="0.25">
      <c r="B32" s="384">
        <v>636.4</v>
      </c>
      <c r="C32" s="496">
        <v>44.2</v>
      </c>
      <c r="D32" s="518">
        <v>883</v>
      </c>
      <c r="E32" s="519">
        <v>15.8</v>
      </c>
      <c r="G32" s="506">
        <v>632</v>
      </c>
      <c r="H32" s="507">
        <v>92.6</v>
      </c>
      <c r="I32" s="518">
        <v>113</v>
      </c>
      <c r="J32" s="519">
        <v>28</v>
      </c>
      <c r="N32" s="3" t="s">
        <v>217</v>
      </c>
      <c r="O32" s="3">
        <v>0</v>
      </c>
      <c r="P32" s="400">
        <v>66.900000000000006</v>
      </c>
      <c r="Q32" s="400">
        <v>21.9</v>
      </c>
      <c r="R32" s="527">
        <v>14</v>
      </c>
      <c r="S32" s="35">
        <f t="shared" ref="S32:S35" si="12">Q32/P32</f>
        <v>0.32735426008968604</v>
      </c>
      <c r="T32" s="35">
        <f t="shared" ref="T32:T35" si="13">R32/P32</f>
        <v>0.20926756352765319</v>
      </c>
      <c r="U32" s="30">
        <f t="shared" ref="U32:U36" si="14">S32/T32</f>
        <v>1.5642857142857143</v>
      </c>
      <c r="V32" s="400" t="s">
        <v>165</v>
      </c>
    </row>
    <row r="33" spans="2:22" ht="15.75" customHeight="1" x14ac:dyDescent="0.25">
      <c r="B33" s="384">
        <v>658.2</v>
      </c>
      <c r="C33" s="496">
        <v>42.8</v>
      </c>
      <c r="D33" s="518">
        <v>111</v>
      </c>
      <c r="E33" s="519">
        <v>24.9</v>
      </c>
      <c r="G33" s="506">
        <v>662.5</v>
      </c>
      <c r="H33" s="507">
        <v>203.6</v>
      </c>
      <c r="I33" s="528">
        <v>993</v>
      </c>
      <c r="J33" s="519">
        <v>36.9</v>
      </c>
      <c r="N33" s="3" t="s">
        <v>220</v>
      </c>
      <c r="O33" s="3">
        <v>0</v>
      </c>
      <c r="P33" s="525">
        <v>49.2</v>
      </c>
      <c r="Q33" s="525">
        <v>29</v>
      </c>
      <c r="R33" s="527">
        <v>16</v>
      </c>
      <c r="S33" s="35">
        <f t="shared" si="12"/>
        <v>0.58943089430894302</v>
      </c>
      <c r="T33" s="35">
        <f t="shared" si="13"/>
        <v>0.32520325203252032</v>
      </c>
      <c r="U33" s="30">
        <f t="shared" si="14"/>
        <v>1.8124999999999998</v>
      </c>
      <c r="V33" s="400" t="s">
        <v>303</v>
      </c>
    </row>
    <row r="34" spans="2:22" ht="15.75" customHeight="1" x14ac:dyDescent="0.25">
      <c r="B34" s="384">
        <v>636.4</v>
      </c>
      <c r="C34" s="496">
        <v>52</v>
      </c>
      <c r="D34" s="518">
        <v>127</v>
      </c>
      <c r="E34" s="519">
        <v>13.7</v>
      </c>
      <c r="G34" s="512">
        <v>658.2</v>
      </c>
      <c r="H34" s="510">
        <v>150.9</v>
      </c>
      <c r="I34" s="528">
        <v>110</v>
      </c>
      <c r="J34" s="529">
        <v>29.6</v>
      </c>
      <c r="N34" s="3" t="s">
        <v>217</v>
      </c>
      <c r="O34" s="3">
        <v>2</v>
      </c>
      <c r="P34" s="400">
        <v>149</v>
      </c>
      <c r="Q34" s="400">
        <v>31.5</v>
      </c>
      <c r="R34" s="527">
        <v>19.3</v>
      </c>
      <c r="S34" s="35">
        <f t="shared" si="12"/>
        <v>0.21140939597315436</v>
      </c>
      <c r="T34" s="35">
        <f t="shared" si="13"/>
        <v>0.12953020134228188</v>
      </c>
      <c r="U34" s="30">
        <f t="shared" si="14"/>
        <v>1.6321243523316062</v>
      </c>
      <c r="V34" s="400" t="s">
        <v>196</v>
      </c>
    </row>
    <row r="35" spans="2:22" ht="15.75" customHeight="1" x14ac:dyDescent="0.25">
      <c r="B35" s="384">
        <v>610.20000000000005</v>
      </c>
      <c r="C35" s="496">
        <v>128.5</v>
      </c>
      <c r="D35" s="518">
        <v>105</v>
      </c>
      <c r="E35" s="519">
        <v>33.299999999999997</v>
      </c>
      <c r="I35" s="523"/>
      <c r="J35" s="523"/>
      <c r="N35" s="3" t="s">
        <v>220</v>
      </c>
      <c r="O35" s="3">
        <v>2</v>
      </c>
      <c r="P35" s="525">
        <v>79.8</v>
      </c>
      <c r="Q35" s="525">
        <v>30.6</v>
      </c>
      <c r="R35" s="527">
        <v>12.25</v>
      </c>
      <c r="S35" s="35">
        <f t="shared" si="12"/>
        <v>0.38345864661654139</v>
      </c>
      <c r="T35" s="35">
        <f t="shared" si="13"/>
        <v>0.15350877192982457</v>
      </c>
      <c r="U35" s="30">
        <f t="shared" si="14"/>
        <v>2.4979591836734696</v>
      </c>
      <c r="V35" s="400" t="s">
        <v>205</v>
      </c>
    </row>
    <row r="36" spans="2:22" ht="15.75" customHeight="1" x14ac:dyDescent="0.25">
      <c r="B36" s="3">
        <f t="shared" ref="B36:E36" si="15">AVERAGE(B32:B35)</f>
        <v>635.29999999999995</v>
      </c>
      <c r="C36" s="3">
        <f t="shared" si="15"/>
        <v>66.875</v>
      </c>
      <c r="D36" s="523">
        <f t="shared" si="15"/>
        <v>306.5</v>
      </c>
      <c r="E36" s="523">
        <f t="shared" si="15"/>
        <v>21.925000000000001</v>
      </c>
      <c r="G36" s="3">
        <f t="shared" ref="G36:J36" si="16">AVERAGE(G32:G34)</f>
        <v>650.9</v>
      </c>
      <c r="H36" s="3">
        <f t="shared" si="16"/>
        <v>149.03333333333333</v>
      </c>
      <c r="I36" s="523">
        <f t="shared" si="16"/>
        <v>405.33333333333331</v>
      </c>
      <c r="J36" s="523">
        <f t="shared" si="16"/>
        <v>31.5</v>
      </c>
      <c r="U36" s="3" t="e">
        <f t="shared" si="14"/>
        <v>#DIV/0!</v>
      </c>
    </row>
    <row r="37" spans="2:22" ht="15.75" customHeight="1" x14ac:dyDescent="0.25">
      <c r="B37" s="3">
        <f t="shared" ref="B37:J37" si="17">STDEVA(B32:B35)</f>
        <v>19.637039831230503</v>
      </c>
      <c r="C37" s="3">
        <f t="shared" si="17"/>
        <v>41.282229833186094</v>
      </c>
      <c r="D37" s="3">
        <f t="shared" si="17"/>
        <v>384.44548811675935</v>
      </c>
      <c r="E37" s="3">
        <f t="shared" si="17"/>
        <v>9.0075431352468751</v>
      </c>
      <c r="F37" s="3" t="e">
        <f t="shared" si="17"/>
        <v>#DIV/0!</v>
      </c>
      <c r="G37" s="3">
        <f t="shared" si="17"/>
        <v>16.508482668010416</v>
      </c>
      <c r="H37" s="3">
        <f t="shared" si="17"/>
        <v>55.523538551981062</v>
      </c>
      <c r="I37" s="523">
        <f t="shared" si="17"/>
        <v>508.93647278745249</v>
      </c>
      <c r="J37" s="523">
        <f t="shared" si="17"/>
        <v>4.7444704657105587</v>
      </c>
    </row>
    <row r="38" spans="2:22" ht="15.75" customHeight="1" x14ac:dyDescent="0.25">
      <c r="B38" s="3">
        <f t="shared" ref="B38:F38" si="18">B37/2</f>
        <v>9.8185199156152514</v>
      </c>
      <c r="C38" s="3">
        <f t="shared" si="18"/>
        <v>20.641114916593047</v>
      </c>
      <c r="D38" s="3">
        <f t="shared" si="18"/>
        <v>192.22274405837967</v>
      </c>
      <c r="E38" s="3">
        <f t="shared" si="18"/>
        <v>4.5037715676234376</v>
      </c>
      <c r="F38" s="3" t="e">
        <f t="shared" si="18"/>
        <v>#DIV/0!</v>
      </c>
      <c r="G38" s="3">
        <f t="shared" ref="G38:J38" si="19">G37/1.73</f>
        <v>9.5424755306418589</v>
      </c>
      <c r="H38" s="3">
        <f t="shared" si="19"/>
        <v>32.094530954902346</v>
      </c>
      <c r="I38" s="523">
        <f t="shared" si="19"/>
        <v>294.18293224708236</v>
      </c>
      <c r="J38" s="523">
        <f t="shared" si="19"/>
        <v>2.7424684772893402</v>
      </c>
    </row>
    <row r="39" spans="2:22" ht="15.75" customHeight="1" x14ac:dyDescent="0.25">
      <c r="C39" s="3" t="s">
        <v>330</v>
      </c>
      <c r="I39" s="523"/>
      <c r="J39" s="523"/>
    </row>
    <row r="40" spans="2:22" ht="15.75" customHeight="1" x14ac:dyDescent="0.25">
      <c r="G40" s="3" t="s">
        <v>330</v>
      </c>
    </row>
    <row r="41" spans="2:22" ht="15.75" customHeight="1" x14ac:dyDescent="0.25">
      <c r="C41" s="3" t="s">
        <v>331</v>
      </c>
    </row>
    <row r="42" spans="2:22" ht="15.75" customHeight="1" x14ac:dyDescent="0.25">
      <c r="B42" s="3" t="s">
        <v>112</v>
      </c>
    </row>
    <row r="43" spans="2:22" ht="15.75" customHeight="1" x14ac:dyDescent="0.25">
      <c r="B43" s="3" t="s">
        <v>30</v>
      </c>
    </row>
    <row r="44" spans="2:22" ht="15.75" customHeight="1" x14ac:dyDescent="0.25">
      <c r="B44" s="3" t="s">
        <v>332</v>
      </c>
    </row>
    <row r="45" spans="2:22" ht="15.75" customHeight="1" x14ac:dyDescent="0.2"/>
    <row r="46" spans="2:22" ht="15.75" customHeight="1" x14ac:dyDescent="0.2"/>
    <row r="47" spans="2:22" ht="15.75" customHeight="1" x14ac:dyDescent="0.25">
      <c r="B47" s="3" t="s">
        <v>224</v>
      </c>
      <c r="C47" s="3" t="s">
        <v>123</v>
      </c>
      <c r="D47" s="3" t="s">
        <v>225</v>
      </c>
      <c r="E47" s="3" t="s">
        <v>226</v>
      </c>
      <c r="F47" s="3" t="s">
        <v>333</v>
      </c>
      <c r="G47" s="3" t="s">
        <v>231</v>
      </c>
      <c r="I47" s="352" t="s">
        <v>334</v>
      </c>
    </row>
    <row r="48" spans="2:22" ht="15.75" customHeight="1" x14ac:dyDescent="0.25">
      <c r="B48" s="3" t="s">
        <v>1</v>
      </c>
      <c r="C48" s="3">
        <v>0</v>
      </c>
      <c r="D48" s="3">
        <v>14</v>
      </c>
      <c r="E48" s="3">
        <v>15.8</v>
      </c>
      <c r="F48" s="465">
        <v>150</v>
      </c>
      <c r="G48" s="518">
        <v>883</v>
      </c>
      <c r="I48" s="506">
        <v>636.4</v>
      </c>
    </row>
    <row r="49" spans="2:9" ht="15.75" customHeight="1" x14ac:dyDescent="0.25">
      <c r="B49" s="3" t="s">
        <v>1</v>
      </c>
      <c r="C49" s="3">
        <v>0</v>
      </c>
      <c r="D49" s="3">
        <v>16</v>
      </c>
      <c r="E49" s="3">
        <v>24.9</v>
      </c>
      <c r="F49" s="465">
        <v>120</v>
      </c>
      <c r="G49" s="518">
        <v>111</v>
      </c>
      <c r="I49" s="506">
        <v>658.2</v>
      </c>
    </row>
    <row r="50" spans="2:9" ht="15.75" customHeight="1" x14ac:dyDescent="0.25">
      <c r="B50" s="3" t="s">
        <v>1</v>
      </c>
      <c r="C50" s="3">
        <v>0</v>
      </c>
      <c r="D50" s="3">
        <v>12</v>
      </c>
      <c r="E50" s="3">
        <v>13.7</v>
      </c>
      <c r="F50" s="465">
        <v>170</v>
      </c>
      <c r="G50" s="518">
        <v>127</v>
      </c>
      <c r="I50" s="506">
        <v>636.4</v>
      </c>
    </row>
    <row r="51" spans="2:9" ht="15.75" customHeight="1" x14ac:dyDescent="0.25">
      <c r="B51" s="3" t="s">
        <v>1</v>
      </c>
      <c r="C51" s="3">
        <v>0</v>
      </c>
      <c r="E51" s="3">
        <v>33.299999999999997</v>
      </c>
      <c r="G51" s="518">
        <v>105</v>
      </c>
      <c r="I51" s="506">
        <v>610.20000000000005</v>
      </c>
    </row>
    <row r="52" spans="2:9" ht="15.75" customHeight="1" x14ac:dyDescent="0.25">
      <c r="B52" s="3" t="s">
        <v>1</v>
      </c>
      <c r="C52" s="3">
        <v>2</v>
      </c>
      <c r="D52" s="3">
        <v>18</v>
      </c>
      <c r="E52" s="3">
        <v>28</v>
      </c>
      <c r="F52" s="465">
        <v>574</v>
      </c>
      <c r="G52" s="518">
        <v>113</v>
      </c>
      <c r="I52" s="506">
        <v>632</v>
      </c>
    </row>
    <row r="53" spans="2:9" ht="15.75" customHeight="1" x14ac:dyDescent="0.25">
      <c r="B53" s="3" t="s">
        <v>1</v>
      </c>
      <c r="C53" s="3">
        <v>2</v>
      </c>
      <c r="D53" s="3">
        <v>22</v>
      </c>
      <c r="E53" s="3">
        <v>36.9</v>
      </c>
      <c r="F53" s="465">
        <v>817</v>
      </c>
      <c r="G53" s="528">
        <v>993</v>
      </c>
      <c r="I53" s="506">
        <v>662.5</v>
      </c>
    </row>
    <row r="54" spans="2:9" ht="15.75" customHeight="1" x14ac:dyDescent="0.25">
      <c r="B54" s="3" t="s">
        <v>1</v>
      </c>
      <c r="C54" s="3">
        <v>2</v>
      </c>
      <c r="D54" s="3">
        <v>18</v>
      </c>
      <c r="E54" s="3">
        <v>29.6</v>
      </c>
      <c r="F54" s="465">
        <v>751</v>
      </c>
      <c r="G54" s="528">
        <v>110</v>
      </c>
      <c r="I54" s="512">
        <v>658.2</v>
      </c>
    </row>
    <row r="55" spans="2:9" ht="15.75" customHeight="1" x14ac:dyDescent="0.25">
      <c r="B55" s="3" t="s">
        <v>236</v>
      </c>
      <c r="C55" s="3">
        <v>0</v>
      </c>
      <c r="D55" s="3">
        <v>20</v>
      </c>
      <c r="E55" s="3">
        <v>18.399999999999999</v>
      </c>
      <c r="F55" s="465">
        <v>100</v>
      </c>
      <c r="G55" s="518">
        <v>599</v>
      </c>
      <c r="I55" s="506">
        <v>662.5</v>
      </c>
    </row>
    <row r="56" spans="2:9" ht="15.75" customHeight="1" x14ac:dyDescent="0.25">
      <c r="B56" s="3" t="s">
        <v>236</v>
      </c>
      <c r="C56" s="3">
        <v>0</v>
      </c>
      <c r="D56" s="3">
        <v>12</v>
      </c>
      <c r="E56" s="3">
        <v>17.899999999999999</v>
      </c>
      <c r="F56" s="465">
        <v>110</v>
      </c>
      <c r="G56" s="518">
        <v>104</v>
      </c>
      <c r="I56" s="506">
        <v>632</v>
      </c>
    </row>
    <row r="57" spans="2:9" ht="15.75" customHeight="1" x14ac:dyDescent="0.25">
      <c r="B57" s="3" t="s">
        <v>236</v>
      </c>
      <c r="C57" s="3">
        <v>0</v>
      </c>
      <c r="D57" s="3">
        <v>16</v>
      </c>
      <c r="E57" s="3">
        <v>50.7</v>
      </c>
      <c r="F57" s="465">
        <v>191</v>
      </c>
      <c r="G57" s="518">
        <v>804</v>
      </c>
      <c r="I57" s="506">
        <v>693</v>
      </c>
    </row>
    <row r="58" spans="2:9" ht="15.75" customHeight="1" x14ac:dyDescent="0.25">
      <c r="B58" s="3" t="s">
        <v>236</v>
      </c>
      <c r="C58" s="3">
        <v>0</v>
      </c>
      <c r="D58" s="3">
        <v>12</v>
      </c>
      <c r="F58" s="465">
        <v>566</v>
      </c>
      <c r="I58" s="506">
        <v>697.4</v>
      </c>
    </row>
    <row r="59" spans="2:9" ht="15.75" customHeight="1" x14ac:dyDescent="0.25">
      <c r="B59" s="3" t="s">
        <v>236</v>
      </c>
      <c r="C59" s="3">
        <v>2</v>
      </c>
      <c r="D59" s="3">
        <v>10</v>
      </c>
      <c r="E59" s="3">
        <v>30.8</v>
      </c>
      <c r="F59" s="465">
        <v>808</v>
      </c>
      <c r="G59" s="518">
        <v>759</v>
      </c>
      <c r="I59" s="506">
        <v>636.4</v>
      </c>
    </row>
    <row r="60" spans="2:9" ht="15.75" customHeight="1" x14ac:dyDescent="0.25">
      <c r="B60" s="3" t="s">
        <v>236</v>
      </c>
      <c r="C60" s="3">
        <v>2</v>
      </c>
      <c r="D60" s="3">
        <v>11</v>
      </c>
      <c r="E60" s="3">
        <v>38.799999999999997</v>
      </c>
      <c r="F60" s="465">
        <v>668</v>
      </c>
      <c r="G60" s="518">
        <v>660</v>
      </c>
      <c r="I60" s="506">
        <v>658.2</v>
      </c>
    </row>
    <row r="61" spans="2:9" ht="15.75" customHeight="1" x14ac:dyDescent="0.25">
      <c r="B61" s="3" t="s">
        <v>236</v>
      </c>
      <c r="C61" s="3">
        <v>2</v>
      </c>
      <c r="D61" s="3">
        <v>10</v>
      </c>
      <c r="E61" s="3">
        <v>17.8</v>
      </c>
      <c r="F61" s="465">
        <v>920</v>
      </c>
      <c r="G61" s="518">
        <v>665</v>
      </c>
      <c r="I61" s="506">
        <v>640.70000000000005</v>
      </c>
    </row>
    <row r="62" spans="2:9" ht="15.75" customHeight="1" x14ac:dyDescent="0.25">
      <c r="B62" s="3" t="s">
        <v>236</v>
      </c>
      <c r="C62" s="3">
        <v>2</v>
      </c>
      <c r="D62" s="3">
        <v>18</v>
      </c>
      <c r="E62" s="3">
        <v>35.1</v>
      </c>
      <c r="F62" s="465">
        <v>130</v>
      </c>
      <c r="G62" s="518">
        <v>131</v>
      </c>
      <c r="I62" s="506">
        <v>723.5</v>
      </c>
    </row>
    <row r="63" spans="2:9" ht="15.75" customHeight="1" x14ac:dyDescent="0.2"/>
    <row r="64" spans="2: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Q22:V22"/>
    <mergeCell ref="Q23:S23"/>
    <mergeCell ref="T23:V23"/>
    <mergeCell ref="B30:E30"/>
    <mergeCell ref="G30:J30"/>
    <mergeCell ref="B20:E20"/>
    <mergeCell ref="G20:J20"/>
    <mergeCell ref="P22:P24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00"/>
  <sheetViews>
    <sheetView workbookViewId="0"/>
  </sheetViews>
  <sheetFormatPr defaultColWidth="12.625" defaultRowHeight="15" customHeight="1" x14ac:dyDescent="0.2"/>
  <cols>
    <col min="1" max="2" width="9.375" customWidth="1"/>
    <col min="3" max="3" width="13.375" customWidth="1"/>
    <col min="4" max="4" width="14.5" customWidth="1"/>
    <col min="5" max="26" width="9.375" customWidth="1"/>
  </cols>
  <sheetData>
    <row r="2" spans="1:13" x14ac:dyDescent="0.25">
      <c r="A2" s="3" t="s">
        <v>335</v>
      </c>
      <c r="C2" s="3" t="s">
        <v>336</v>
      </c>
    </row>
    <row r="3" spans="1:13" ht="30" x14ac:dyDescent="0.25">
      <c r="A3" s="3" t="s">
        <v>116</v>
      </c>
      <c r="B3" s="3" t="s">
        <v>30</v>
      </c>
      <c r="C3" s="530" t="s">
        <v>337</v>
      </c>
      <c r="D3" s="530" t="s">
        <v>338</v>
      </c>
      <c r="J3" s="571"/>
      <c r="K3" s="557"/>
      <c r="L3" s="557"/>
      <c r="M3" s="557"/>
    </row>
    <row r="4" spans="1:13" x14ac:dyDescent="0.25">
      <c r="A4" s="3" t="s">
        <v>1</v>
      </c>
      <c r="B4" s="3">
        <v>0</v>
      </c>
      <c r="C4" s="3">
        <v>410</v>
      </c>
      <c r="D4" s="451">
        <v>99</v>
      </c>
      <c r="J4" s="43"/>
      <c r="K4" s="43"/>
      <c r="L4" s="43"/>
      <c r="M4" s="43"/>
    </row>
    <row r="5" spans="1:13" x14ac:dyDescent="0.25">
      <c r="A5" s="3" t="s">
        <v>1</v>
      </c>
      <c r="B5" s="3">
        <v>0</v>
      </c>
      <c r="C5" s="3">
        <v>450</v>
      </c>
      <c r="D5" s="451">
        <v>101</v>
      </c>
    </row>
    <row r="6" spans="1:13" x14ac:dyDescent="0.25">
      <c r="A6" s="3" t="s">
        <v>1</v>
      </c>
      <c r="B6" s="3">
        <v>0</v>
      </c>
    </row>
    <row r="7" spans="1:13" x14ac:dyDescent="0.25">
      <c r="A7" s="3" t="s">
        <v>1</v>
      </c>
      <c r="B7" s="3">
        <v>0</v>
      </c>
    </row>
    <row r="8" spans="1:13" x14ac:dyDescent="0.25">
      <c r="A8" s="3" t="s">
        <v>1</v>
      </c>
      <c r="B8" s="3">
        <v>1</v>
      </c>
      <c r="C8" s="3">
        <v>390</v>
      </c>
      <c r="D8" s="451">
        <v>171</v>
      </c>
    </row>
    <row r="9" spans="1:13" x14ac:dyDescent="0.25">
      <c r="A9" s="3" t="s">
        <v>1</v>
      </c>
      <c r="B9" s="3">
        <v>1</v>
      </c>
      <c r="C9" s="3">
        <v>410</v>
      </c>
      <c r="D9" s="451">
        <v>208</v>
      </c>
    </row>
    <row r="10" spans="1:13" x14ac:dyDescent="0.25">
      <c r="A10" s="3" t="s">
        <v>1</v>
      </c>
      <c r="B10" s="3">
        <v>1</v>
      </c>
      <c r="C10" s="3">
        <v>400</v>
      </c>
      <c r="D10" s="451">
        <v>94</v>
      </c>
    </row>
    <row r="11" spans="1:13" x14ac:dyDescent="0.25">
      <c r="A11" s="3" t="s">
        <v>1</v>
      </c>
      <c r="B11" s="3">
        <v>1</v>
      </c>
      <c r="C11" s="3">
        <v>400</v>
      </c>
    </row>
    <row r="12" spans="1:13" x14ac:dyDescent="0.25">
      <c r="A12" s="3" t="s">
        <v>1</v>
      </c>
      <c r="B12" s="3">
        <v>2</v>
      </c>
      <c r="C12" s="3">
        <v>390</v>
      </c>
      <c r="D12" s="451">
        <v>342</v>
      </c>
    </row>
    <row r="13" spans="1:13" x14ac:dyDescent="0.25">
      <c r="A13" s="3" t="s">
        <v>1</v>
      </c>
      <c r="B13" s="3">
        <v>2</v>
      </c>
      <c r="C13" s="3">
        <v>390</v>
      </c>
      <c r="D13" s="451">
        <v>248</v>
      </c>
      <c r="H13" s="451"/>
    </row>
    <row r="14" spans="1:13" x14ac:dyDescent="0.25">
      <c r="A14" s="3" t="s">
        <v>1</v>
      </c>
      <c r="B14" s="3">
        <v>2</v>
      </c>
      <c r="C14" s="3">
        <v>310</v>
      </c>
      <c r="D14" s="451">
        <v>306</v>
      </c>
    </row>
    <row r="15" spans="1:13" x14ac:dyDescent="0.25">
      <c r="A15" s="3" t="s">
        <v>1</v>
      </c>
      <c r="B15" s="3">
        <v>2</v>
      </c>
      <c r="C15" s="352"/>
    </row>
    <row r="16" spans="1:13" x14ac:dyDescent="0.25">
      <c r="A16" s="3" t="s">
        <v>236</v>
      </c>
      <c r="B16" s="3">
        <v>0</v>
      </c>
      <c r="C16" s="3">
        <v>410</v>
      </c>
      <c r="D16" s="451">
        <v>103</v>
      </c>
      <c r="G16" s="3" t="s">
        <v>339</v>
      </c>
    </row>
    <row r="17" spans="1:7" x14ac:dyDescent="0.25">
      <c r="A17" s="3" t="s">
        <v>236</v>
      </c>
      <c r="B17" s="3">
        <v>0</v>
      </c>
      <c r="C17" s="506"/>
      <c r="G17" s="3" t="s">
        <v>116</v>
      </c>
    </row>
    <row r="18" spans="1:7" x14ac:dyDescent="0.25">
      <c r="A18" s="3" t="s">
        <v>236</v>
      </c>
      <c r="B18" s="3">
        <v>0</v>
      </c>
      <c r="C18" s="506"/>
      <c r="G18" s="3" t="s">
        <v>30</v>
      </c>
    </row>
    <row r="19" spans="1:7" x14ac:dyDescent="0.25">
      <c r="A19" s="3" t="s">
        <v>236</v>
      </c>
      <c r="B19" s="3">
        <v>0</v>
      </c>
      <c r="C19" s="506"/>
      <c r="G19" s="3" t="s">
        <v>340</v>
      </c>
    </row>
    <row r="20" spans="1:7" x14ac:dyDescent="0.25">
      <c r="A20" s="3" t="s">
        <v>236</v>
      </c>
      <c r="B20" s="3">
        <v>1</v>
      </c>
      <c r="C20" s="3">
        <v>430</v>
      </c>
      <c r="D20" s="451">
        <v>206</v>
      </c>
    </row>
    <row r="21" spans="1:7" ht="15.75" customHeight="1" x14ac:dyDescent="0.25">
      <c r="A21" s="3" t="s">
        <v>236</v>
      </c>
      <c r="B21" s="3">
        <v>1</v>
      </c>
      <c r="C21" s="3">
        <v>410</v>
      </c>
      <c r="D21" s="451">
        <v>203</v>
      </c>
    </row>
    <row r="22" spans="1:7" ht="15.75" customHeight="1" x14ac:dyDescent="0.25">
      <c r="A22" s="3" t="s">
        <v>236</v>
      </c>
      <c r="B22" s="3">
        <v>1</v>
      </c>
      <c r="C22" s="3">
        <v>430</v>
      </c>
      <c r="D22" s="451">
        <v>184</v>
      </c>
    </row>
    <row r="23" spans="1:7" ht="15.75" customHeight="1" x14ac:dyDescent="0.25">
      <c r="A23" s="3" t="s">
        <v>236</v>
      </c>
      <c r="B23" s="3">
        <v>1</v>
      </c>
    </row>
    <row r="24" spans="1:7" ht="15.75" customHeight="1" x14ac:dyDescent="0.25">
      <c r="A24" s="3" t="s">
        <v>236</v>
      </c>
      <c r="B24" s="3">
        <v>2</v>
      </c>
      <c r="C24" s="3">
        <v>410</v>
      </c>
      <c r="D24" s="451">
        <v>278</v>
      </c>
    </row>
    <row r="25" spans="1:7" ht="15.75" customHeight="1" x14ac:dyDescent="0.25">
      <c r="A25" s="3" t="s">
        <v>236</v>
      </c>
      <c r="B25" s="3">
        <v>2</v>
      </c>
      <c r="C25" s="3">
        <v>410</v>
      </c>
      <c r="D25" s="451">
        <v>269</v>
      </c>
    </row>
    <row r="26" spans="1:7" ht="15.75" customHeight="1" x14ac:dyDescent="0.25">
      <c r="A26" s="3" t="s">
        <v>236</v>
      </c>
      <c r="B26" s="3">
        <v>2</v>
      </c>
      <c r="C26" s="3">
        <v>420</v>
      </c>
      <c r="D26" s="451">
        <v>287</v>
      </c>
    </row>
    <row r="27" spans="1:7" ht="15.75" customHeight="1" x14ac:dyDescent="0.25">
      <c r="A27" s="3" t="s">
        <v>236</v>
      </c>
      <c r="B27" s="3">
        <v>2</v>
      </c>
    </row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J3:M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3"/>
  <sheetViews>
    <sheetView tabSelected="1" workbookViewId="0">
      <selection activeCell="P24" sqref="P24:X27"/>
    </sheetView>
  </sheetViews>
  <sheetFormatPr defaultRowHeight="14.25" x14ac:dyDescent="0.2"/>
  <sheetData>
    <row r="1" spans="1:24" ht="15.75" thickBot="1" x14ac:dyDescent="0.3">
      <c r="A1" s="531" t="s">
        <v>341</v>
      </c>
      <c r="B1" s="55" t="s">
        <v>342</v>
      </c>
      <c r="C1" s="55" t="s">
        <v>29</v>
      </c>
      <c r="D1" s="55" t="s">
        <v>30</v>
      </c>
      <c r="E1" s="55" t="s">
        <v>31</v>
      </c>
      <c r="F1" s="55" t="s">
        <v>32</v>
      </c>
      <c r="G1" s="273" t="s">
        <v>33</v>
      </c>
      <c r="H1" s="55" t="s">
        <v>34</v>
      </c>
      <c r="I1" s="55" t="s">
        <v>35</v>
      </c>
      <c r="J1" s="55" t="s">
        <v>36</v>
      </c>
      <c r="K1" s="55" t="s">
        <v>37</v>
      </c>
      <c r="L1" s="56" t="s">
        <v>38</v>
      </c>
      <c r="M1" s="56" t="s">
        <v>39</v>
      </c>
      <c r="N1" s="56" t="s">
        <v>40</v>
      </c>
      <c r="O1" s="56" t="s">
        <v>41</v>
      </c>
      <c r="P1" s="55" t="s">
        <v>42</v>
      </c>
      <c r="Q1" s="55" t="s">
        <v>43</v>
      </c>
      <c r="R1" s="55" t="s">
        <v>44</v>
      </c>
      <c r="S1" s="57" t="s">
        <v>45</v>
      </c>
      <c r="T1" s="57" t="s">
        <v>46</v>
      </c>
      <c r="U1" s="57" t="s">
        <v>47</v>
      </c>
      <c r="V1" s="57" t="s">
        <v>48</v>
      </c>
      <c r="W1" s="57" t="s">
        <v>49</v>
      </c>
      <c r="X1" s="58" t="s">
        <v>50</v>
      </c>
    </row>
    <row r="2" spans="1:24" ht="15" x14ac:dyDescent="0.25">
      <c r="A2" s="531">
        <v>1</v>
      </c>
      <c r="B2" s="65" t="s">
        <v>51</v>
      </c>
      <c r="C2" s="65">
        <v>0</v>
      </c>
      <c r="D2" s="65">
        <v>0</v>
      </c>
      <c r="E2" s="65">
        <v>0</v>
      </c>
      <c r="F2" s="65">
        <v>0</v>
      </c>
      <c r="G2" s="61">
        <v>5.5172413793103452</v>
      </c>
      <c r="H2" s="61">
        <v>19.65217391304348</v>
      </c>
      <c r="I2" s="66"/>
      <c r="J2" s="66"/>
      <c r="K2" s="65">
        <v>2.6</v>
      </c>
      <c r="L2" s="64">
        <v>50</v>
      </c>
      <c r="M2" s="64">
        <v>44</v>
      </c>
      <c r="N2" s="64">
        <v>37</v>
      </c>
      <c r="O2" s="64">
        <v>30</v>
      </c>
      <c r="P2" s="65"/>
      <c r="Q2" s="65"/>
      <c r="R2" s="65"/>
      <c r="S2" s="64">
        <v>103</v>
      </c>
      <c r="T2" s="66"/>
      <c r="U2" s="66"/>
      <c r="V2" s="66">
        <v>410</v>
      </c>
      <c r="W2" s="66"/>
      <c r="X2" s="67"/>
    </row>
    <row r="3" spans="1:24" ht="15" x14ac:dyDescent="0.25">
      <c r="A3" s="531">
        <v>2</v>
      </c>
      <c r="B3" s="73" t="s">
        <v>51</v>
      </c>
      <c r="C3" s="73">
        <v>0</v>
      </c>
      <c r="D3" s="73">
        <v>0</v>
      </c>
      <c r="E3" s="73">
        <v>0</v>
      </c>
      <c r="F3" s="73">
        <v>0</v>
      </c>
      <c r="G3" s="70">
        <v>4.6394984326018811</v>
      </c>
      <c r="H3" s="70">
        <v>20.086956521739133</v>
      </c>
      <c r="I3" s="74"/>
      <c r="J3" s="74"/>
      <c r="K3" s="73"/>
      <c r="L3" s="73"/>
      <c r="M3" s="73"/>
      <c r="N3" s="73"/>
      <c r="O3" s="73"/>
      <c r="P3" s="73"/>
      <c r="Q3" s="73"/>
      <c r="R3" s="73"/>
      <c r="S3" s="73"/>
      <c r="T3" s="74"/>
      <c r="U3" s="74"/>
      <c r="V3" s="74"/>
      <c r="W3" s="74"/>
      <c r="X3" s="75"/>
    </row>
    <row r="4" spans="1:24" ht="15" x14ac:dyDescent="0.25">
      <c r="A4" s="531">
        <v>3</v>
      </c>
      <c r="B4" s="73" t="s">
        <v>51</v>
      </c>
      <c r="C4" s="73">
        <v>0</v>
      </c>
      <c r="D4" s="73">
        <v>0</v>
      </c>
      <c r="E4" s="73">
        <v>0</v>
      </c>
      <c r="F4" s="73">
        <v>0</v>
      </c>
      <c r="G4" s="70">
        <v>4.8902821316614427</v>
      </c>
      <c r="H4" s="70">
        <v>22</v>
      </c>
      <c r="I4" s="74"/>
      <c r="J4" s="74"/>
      <c r="K4" s="73"/>
      <c r="L4" s="73"/>
      <c r="M4" s="73"/>
      <c r="N4" s="73"/>
      <c r="O4" s="73"/>
      <c r="P4" s="73"/>
      <c r="Q4" s="73"/>
      <c r="R4" s="73"/>
      <c r="S4" s="73"/>
      <c r="T4" s="74"/>
      <c r="U4" s="74"/>
      <c r="V4" s="74"/>
      <c r="W4" s="74"/>
      <c r="X4" s="75"/>
    </row>
    <row r="5" spans="1:24" ht="15" x14ac:dyDescent="0.25">
      <c r="A5" s="531">
        <v>4</v>
      </c>
      <c r="B5" s="395" t="s">
        <v>51</v>
      </c>
      <c r="C5" s="395">
        <v>0</v>
      </c>
      <c r="D5" s="395">
        <v>1</v>
      </c>
      <c r="E5" s="395">
        <v>0</v>
      </c>
      <c r="F5" s="395">
        <v>0</v>
      </c>
      <c r="G5" s="77">
        <v>3.0721003134796243</v>
      </c>
      <c r="H5" s="77">
        <v>22.260869565217391</v>
      </c>
      <c r="I5" s="82"/>
      <c r="J5" s="82"/>
      <c r="K5" s="395">
        <v>2.6</v>
      </c>
      <c r="L5" s="80">
        <v>99</v>
      </c>
      <c r="M5" s="80">
        <v>50</v>
      </c>
      <c r="N5" s="80">
        <v>30</v>
      </c>
      <c r="O5" s="80">
        <v>30</v>
      </c>
      <c r="P5" s="395"/>
      <c r="Q5" s="395"/>
      <c r="R5" s="395"/>
      <c r="S5" s="80">
        <v>206</v>
      </c>
      <c r="T5" s="82"/>
      <c r="U5" s="82"/>
      <c r="V5" s="82">
        <v>430</v>
      </c>
      <c r="W5" s="82"/>
      <c r="X5" s="83"/>
    </row>
    <row r="6" spans="1:24" ht="15" x14ac:dyDescent="0.25">
      <c r="A6" s="531">
        <v>5</v>
      </c>
      <c r="B6" s="395" t="s">
        <v>51</v>
      </c>
      <c r="C6" s="395">
        <v>0</v>
      </c>
      <c r="D6" s="395">
        <v>1</v>
      </c>
      <c r="E6" s="395">
        <v>0</v>
      </c>
      <c r="F6" s="395">
        <v>0</v>
      </c>
      <c r="G6" s="77">
        <v>5.6457680250783708</v>
      </c>
      <c r="H6" s="77">
        <v>23.608695652173914</v>
      </c>
      <c r="I6" s="82"/>
      <c r="J6" s="82"/>
      <c r="K6" s="80">
        <v>2.6</v>
      </c>
      <c r="L6" s="80">
        <v>97</v>
      </c>
      <c r="M6" s="80">
        <v>56</v>
      </c>
      <c r="N6" s="80">
        <v>25</v>
      </c>
      <c r="O6" s="80">
        <v>30</v>
      </c>
      <c r="P6" s="395"/>
      <c r="Q6" s="395"/>
      <c r="R6" s="395"/>
      <c r="S6" s="80">
        <v>203</v>
      </c>
      <c r="T6" s="82"/>
      <c r="U6" s="82"/>
      <c r="V6" s="82">
        <v>410</v>
      </c>
      <c r="W6" s="82"/>
      <c r="X6" s="83"/>
    </row>
    <row r="7" spans="1:24" ht="15" x14ac:dyDescent="0.25">
      <c r="A7" s="531">
        <v>6</v>
      </c>
      <c r="B7" s="395" t="s">
        <v>51</v>
      </c>
      <c r="C7" s="395">
        <v>0</v>
      </c>
      <c r="D7" s="395">
        <v>1</v>
      </c>
      <c r="E7" s="395">
        <v>0</v>
      </c>
      <c r="F7" s="395">
        <v>0</v>
      </c>
      <c r="G7" s="77">
        <v>4.7021943573667713</v>
      </c>
      <c r="H7" s="77">
        <v>25.913043478260867</v>
      </c>
      <c r="I7" s="82"/>
      <c r="J7" s="82"/>
      <c r="K7" s="80">
        <v>2.6</v>
      </c>
      <c r="L7" s="80">
        <v>100</v>
      </c>
      <c r="M7" s="80">
        <v>42</v>
      </c>
      <c r="N7" s="80">
        <v>32</v>
      </c>
      <c r="O7" s="80">
        <v>30</v>
      </c>
      <c r="P7" s="395"/>
      <c r="Q7" s="395"/>
      <c r="R7" s="395"/>
      <c r="S7" s="80">
        <v>184</v>
      </c>
      <c r="T7" s="82"/>
      <c r="U7" s="82"/>
      <c r="V7" s="82">
        <v>430</v>
      </c>
      <c r="W7" s="82"/>
      <c r="X7" s="83"/>
    </row>
    <row r="8" spans="1:24" ht="15" x14ac:dyDescent="0.25">
      <c r="A8" s="531">
        <v>7</v>
      </c>
      <c r="B8" s="411" t="s">
        <v>51</v>
      </c>
      <c r="C8" s="411">
        <v>0</v>
      </c>
      <c r="D8" s="411">
        <v>2</v>
      </c>
      <c r="E8" s="411">
        <v>0</v>
      </c>
      <c r="F8" s="411">
        <v>0</v>
      </c>
      <c r="G8" s="86">
        <v>3.8557993730407527</v>
      </c>
      <c r="H8" s="86">
        <v>22</v>
      </c>
      <c r="I8" s="97"/>
      <c r="J8" s="411"/>
      <c r="K8" s="411">
        <v>2.5</v>
      </c>
      <c r="L8" s="89">
        <v>93</v>
      </c>
      <c r="M8" s="89">
        <v>57</v>
      </c>
      <c r="N8" s="89">
        <v>32</v>
      </c>
      <c r="O8" s="89">
        <v>30</v>
      </c>
      <c r="P8" s="411"/>
      <c r="Q8" s="411"/>
      <c r="R8" s="411"/>
      <c r="S8" s="89">
        <v>278</v>
      </c>
      <c r="T8" s="92"/>
      <c r="U8" s="92"/>
      <c r="V8" s="92">
        <v>410</v>
      </c>
      <c r="W8" s="92"/>
      <c r="X8" s="93"/>
    </row>
    <row r="9" spans="1:24" ht="15" x14ac:dyDescent="0.25">
      <c r="A9" s="531">
        <v>8</v>
      </c>
      <c r="B9" s="411" t="s">
        <v>51</v>
      </c>
      <c r="C9" s="411">
        <v>0</v>
      </c>
      <c r="D9" s="411">
        <v>2</v>
      </c>
      <c r="E9" s="411">
        <v>0</v>
      </c>
      <c r="F9" s="411">
        <v>0</v>
      </c>
      <c r="G9" s="86">
        <v>4.3260188087774303</v>
      </c>
      <c r="H9" s="86">
        <v>22.869565217391305</v>
      </c>
      <c r="I9" s="97"/>
      <c r="J9" s="411"/>
      <c r="K9" s="89">
        <v>2.6</v>
      </c>
      <c r="L9" s="89">
        <v>97</v>
      </c>
      <c r="M9" s="89">
        <v>40</v>
      </c>
      <c r="N9" s="89">
        <v>29</v>
      </c>
      <c r="O9" s="89">
        <v>30</v>
      </c>
      <c r="P9" s="411"/>
      <c r="Q9" s="411"/>
      <c r="R9" s="411"/>
      <c r="S9" s="89">
        <v>269</v>
      </c>
      <c r="T9" s="92"/>
      <c r="U9" s="92"/>
      <c r="V9" s="92">
        <v>410</v>
      </c>
      <c r="W9" s="92"/>
      <c r="X9" s="93"/>
    </row>
    <row r="10" spans="1:24" ht="15.75" thickBot="1" x14ac:dyDescent="0.3">
      <c r="A10" s="531">
        <v>9</v>
      </c>
      <c r="B10" s="97" t="s">
        <v>51</v>
      </c>
      <c r="C10" s="97">
        <v>0</v>
      </c>
      <c r="D10" s="97">
        <v>2</v>
      </c>
      <c r="E10" s="97">
        <v>0</v>
      </c>
      <c r="F10" s="97">
        <v>0</v>
      </c>
      <c r="G10" s="95">
        <v>4.2946708463949852</v>
      </c>
      <c r="H10" s="95">
        <v>20.173913043478262</v>
      </c>
      <c r="I10" s="97"/>
      <c r="J10" s="97"/>
      <c r="K10" s="96">
        <v>2.6</v>
      </c>
      <c r="L10" s="96">
        <v>97</v>
      </c>
      <c r="M10" s="96">
        <v>46</v>
      </c>
      <c r="N10" s="96">
        <v>22</v>
      </c>
      <c r="O10" s="96">
        <v>30</v>
      </c>
      <c r="P10" s="97"/>
      <c r="Q10" s="97"/>
      <c r="R10" s="97"/>
      <c r="S10" s="96">
        <v>287</v>
      </c>
      <c r="T10" s="99"/>
      <c r="U10" s="99"/>
      <c r="V10" s="99">
        <v>420</v>
      </c>
      <c r="W10" s="99"/>
      <c r="X10" s="100"/>
    </row>
    <row r="11" spans="1:24" ht="15" x14ac:dyDescent="0.25">
      <c r="A11" s="531">
        <v>10</v>
      </c>
      <c r="B11" s="101" t="s">
        <v>51</v>
      </c>
      <c r="C11" s="106">
        <v>1</v>
      </c>
      <c r="D11" s="106">
        <v>0</v>
      </c>
      <c r="E11" s="103">
        <v>95.35</v>
      </c>
      <c r="F11" s="103">
        <v>42.68</v>
      </c>
      <c r="G11" s="103">
        <v>4.2946708463949852</v>
      </c>
      <c r="H11" s="103">
        <v>20.956521739130434</v>
      </c>
      <c r="I11" s="104">
        <v>100</v>
      </c>
      <c r="J11" s="104">
        <v>62.7</v>
      </c>
      <c r="K11" s="105">
        <v>2.6</v>
      </c>
      <c r="L11" s="105">
        <v>53</v>
      </c>
      <c r="M11" s="105">
        <v>48</v>
      </c>
      <c r="N11" s="105">
        <v>29</v>
      </c>
      <c r="O11" s="105">
        <v>30</v>
      </c>
      <c r="P11" s="106"/>
      <c r="Q11" s="106"/>
      <c r="R11" s="106"/>
      <c r="S11" s="105">
        <v>99</v>
      </c>
      <c r="T11" s="533"/>
      <c r="U11" s="543"/>
      <c r="V11" s="538">
        <v>410</v>
      </c>
      <c r="W11" s="104"/>
      <c r="X11" s="107"/>
    </row>
    <row r="12" spans="1:24" ht="15" x14ac:dyDescent="0.25">
      <c r="A12" s="531">
        <v>11</v>
      </c>
      <c r="B12" s="109" t="s">
        <v>51</v>
      </c>
      <c r="C12" s="114">
        <v>1</v>
      </c>
      <c r="D12" s="114">
        <v>0</v>
      </c>
      <c r="E12" s="111">
        <v>87.8</v>
      </c>
      <c r="F12" s="111">
        <v>58.59</v>
      </c>
      <c r="G12" s="111">
        <v>4.0125391849529786</v>
      </c>
      <c r="H12" s="111">
        <v>23.043478260869566</v>
      </c>
      <c r="I12" s="112">
        <v>168</v>
      </c>
      <c r="J12" s="112">
        <v>101</v>
      </c>
      <c r="K12" s="113">
        <v>2.7</v>
      </c>
      <c r="L12" s="113">
        <v>45</v>
      </c>
      <c r="M12" s="113">
        <v>42</v>
      </c>
      <c r="N12" s="113">
        <v>27</v>
      </c>
      <c r="O12" s="113">
        <v>30</v>
      </c>
      <c r="P12" s="114"/>
      <c r="Q12" s="114"/>
      <c r="R12" s="114"/>
      <c r="S12" s="113">
        <v>101</v>
      </c>
      <c r="T12" s="534"/>
      <c r="U12" s="544"/>
      <c r="V12" s="539">
        <v>450</v>
      </c>
      <c r="W12" s="112"/>
      <c r="X12" s="115"/>
    </row>
    <row r="13" spans="1:24" ht="15" x14ac:dyDescent="0.25">
      <c r="A13" s="531">
        <v>12</v>
      </c>
      <c r="B13" s="109" t="s">
        <v>51</v>
      </c>
      <c r="C13" s="114">
        <v>1</v>
      </c>
      <c r="D13" s="114">
        <v>0</v>
      </c>
      <c r="E13" s="111">
        <v>90.25</v>
      </c>
      <c r="F13" s="111">
        <v>47.6</v>
      </c>
      <c r="G13" s="111"/>
      <c r="H13" s="111"/>
      <c r="I13" s="112">
        <v>154</v>
      </c>
      <c r="J13" s="112">
        <v>88.5</v>
      </c>
      <c r="K13" s="114"/>
      <c r="L13" s="114"/>
      <c r="M13" s="114"/>
      <c r="N13" s="114"/>
      <c r="O13" s="114"/>
      <c r="P13" s="114"/>
      <c r="Q13" s="114"/>
      <c r="R13" s="114"/>
      <c r="S13" s="114"/>
      <c r="T13" s="534"/>
      <c r="U13" s="544"/>
      <c r="V13" s="539"/>
      <c r="W13" s="112"/>
      <c r="X13" s="115"/>
    </row>
    <row r="14" spans="1:24" ht="15" x14ac:dyDescent="0.25">
      <c r="A14" s="531">
        <v>13</v>
      </c>
      <c r="B14" s="117" t="s">
        <v>51</v>
      </c>
      <c r="C14" s="122">
        <v>1</v>
      </c>
      <c r="D14" s="122">
        <v>1</v>
      </c>
      <c r="E14" s="119">
        <v>82.93</v>
      </c>
      <c r="F14" s="119">
        <v>29.41</v>
      </c>
      <c r="G14" s="572">
        <v>10.501567398119123</v>
      </c>
      <c r="H14" s="119">
        <v>19.434782608695652</v>
      </c>
      <c r="I14" s="120">
        <v>184</v>
      </c>
      <c r="J14" s="120">
        <v>124.6</v>
      </c>
      <c r="K14" s="121">
        <v>2.4</v>
      </c>
      <c r="L14" s="121">
        <v>89</v>
      </c>
      <c r="M14" s="121">
        <v>63</v>
      </c>
      <c r="N14" s="121">
        <v>30</v>
      </c>
      <c r="O14" s="121">
        <v>15</v>
      </c>
      <c r="P14" s="122"/>
      <c r="Q14" s="122"/>
      <c r="R14" s="122"/>
      <c r="S14" s="121">
        <v>171</v>
      </c>
      <c r="T14" s="535"/>
      <c r="U14" s="545"/>
      <c r="V14" s="540">
        <v>400</v>
      </c>
      <c r="W14" s="120"/>
      <c r="X14" s="123"/>
    </row>
    <row r="15" spans="1:24" ht="15" x14ac:dyDescent="0.25">
      <c r="A15" s="531">
        <v>14</v>
      </c>
      <c r="B15" s="117" t="s">
        <v>51</v>
      </c>
      <c r="C15" s="122">
        <v>1</v>
      </c>
      <c r="D15" s="122">
        <v>1</v>
      </c>
      <c r="E15" s="119">
        <v>86.84</v>
      </c>
      <c r="F15" s="119">
        <v>49.39</v>
      </c>
      <c r="G15" s="119">
        <v>3.949843260188088</v>
      </c>
      <c r="H15" s="119">
        <v>20.521739130434781</v>
      </c>
      <c r="I15" s="120">
        <v>468</v>
      </c>
      <c r="J15" s="120">
        <v>202</v>
      </c>
      <c r="K15" s="121">
        <v>2.5</v>
      </c>
      <c r="L15" s="121">
        <v>94</v>
      </c>
      <c r="M15" s="121">
        <v>61</v>
      </c>
      <c r="N15" s="121">
        <v>24</v>
      </c>
      <c r="O15" s="121">
        <v>30</v>
      </c>
      <c r="P15" s="122"/>
      <c r="Q15" s="122"/>
      <c r="R15" s="122"/>
      <c r="S15" s="121">
        <v>208</v>
      </c>
      <c r="T15" s="535"/>
      <c r="U15" s="545"/>
      <c r="V15" s="540">
        <v>410</v>
      </c>
      <c r="W15" s="120"/>
      <c r="X15" s="123"/>
    </row>
    <row r="16" spans="1:24" ht="15" x14ac:dyDescent="0.25">
      <c r="A16" s="531">
        <v>15</v>
      </c>
      <c r="B16" s="117" t="s">
        <v>51</v>
      </c>
      <c r="C16" s="122">
        <v>1</v>
      </c>
      <c r="D16" s="122">
        <v>1</v>
      </c>
      <c r="E16" s="119">
        <v>81.39</v>
      </c>
      <c r="F16" s="119">
        <v>44.29</v>
      </c>
      <c r="G16" s="119">
        <v>2.7586206896551726</v>
      </c>
      <c r="H16" s="126"/>
      <c r="I16" s="120">
        <v>683</v>
      </c>
      <c r="J16" s="120">
        <v>133.4</v>
      </c>
      <c r="K16" s="121">
        <v>2.6</v>
      </c>
      <c r="L16" s="121">
        <v>58</v>
      </c>
      <c r="M16" s="121">
        <v>51</v>
      </c>
      <c r="N16" s="121">
        <v>38</v>
      </c>
      <c r="O16" s="121">
        <v>15</v>
      </c>
      <c r="P16" s="122"/>
      <c r="Q16" s="122"/>
      <c r="R16" s="122"/>
      <c r="S16" s="121">
        <v>94</v>
      </c>
      <c r="T16" s="535"/>
      <c r="U16" s="545"/>
      <c r="V16" s="540">
        <v>400</v>
      </c>
      <c r="W16" s="120"/>
      <c r="X16" s="123"/>
    </row>
    <row r="17" spans="1:24" ht="15" x14ac:dyDescent="0.25">
      <c r="A17" s="531">
        <v>16</v>
      </c>
      <c r="B17" s="127" t="s">
        <v>51</v>
      </c>
      <c r="C17" s="132">
        <v>1</v>
      </c>
      <c r="D17" s="132">
        <v>2</v>
      </c>
      <c r="E17" s="129">
        <v>85</v>
      </c>
      <c r="F17" s="129">
        <v>35</v>
      </c>
      <c r="G17" s="129">
        <v>3.0094043887147337</v>
      </c>
      <c r="H17" s="129">
        <v>20.695652173913043</v>
      </c>
      <c r="I17" s="130">
        <v>12</v>
      </c>
      <c r="J17" s="130">
        <v>55.3</v>
      </c>
      <c r="K17" s="131">
        <v>2.4</v>
      </c>
      <c r="L17" s="131">
        <v>94</v>
      </c>
      <c r="M17" s="131">
        <v>57</v>
      </c>
      <c r="N17" s="131">
        <v>32</v>
      </c>
      <c r="O17" s="131">
        <v>30</v>
      </c>
      <c r="P17" s="132"/>
      <c r="Q17" s="132"/>
      <c r="R17" s="132"/>
      <c r="S17" s="131">
        <v>342</v>
      </c>
      <c r="T17" s="536"/>
      <c r="U17" s="546"/>
      <c r="V17" s="541">
        <v>390</v>
      </c>
      <c r="W17" s="130"/>
      <c r="X17" s="133"/>
    </row>
    <row r="18" spans="1:24" ht="15" x14ac:dyDescent="0.25">
      <c r="A18" s="531">
        <v>17</v>
      </c>
      <c r="B18" s="127" t="s">
        <v>51</v>
      </c>
      <c r="C18" s="132">
        <v>1</v>
      </c>
      <c r="D18" s="132">
        <v>2</v>
      </c>
      <c r="E18" s="129">
        <v>92.86</v>
      </c>
      <c r="F18" s="129">
        <v>37.72</v>
      </c>
      <c r="G18" s="129">
        <v>3.6677115987460818</v>
      </c>
      <c r="H18" s="129">
        <v>22.826086956521742</v>
      </c>
      <c r="I18" s="130">
        <v>6</v>
      </c>
      <c r="J18" s="130">
        <v>61.9</v>
      </c>
      <c r="K18" s="131">
        <v>2.5</v>
      </c>
      <c r="L18" s="131">
        <v>91</v>
      </c>
      <c r="M18" s="131">
        <v>68</v>
      </c>
      <c r="N18" s="131">
        <v>30</v>
      </c>
      <c r="O18" s="131">
        <v>30</v>
      </c>
      <c r="P18" s="132"/>
      <c r="Q18" s="132"/>
      <c r="R18" s="132"/>
      <c r="S18" s="131">
        <v>248</v>
      </c>
      <c r="T18" s="536"/>
      <c r="U18" s="546"/>
      <c r="V18" s="541">
        <v>390</v>
      </c>
      <c r="W18" s="130"/>
      <c r="X18" s="133"/>
    </row>
    <row r="19" spans="1:24" ht="15.75" thickBot="1" x14ac:dyDescent="0.3">
      <c r="A19" s="531">
        <v>18</v>
      </c>
      <c r="B19" s="135" t="s">
        <v>51</v>
      </c>
      <c r="C19" s="141">
        <v>1</v>
      </c>
      <c r="D19" s="141">
        <v>2</v>
      </c>
      <c r="E19" s="137">
        <v>92.31</v>
      </c>
      <c r="F19" s="137">
        <v>48.67</v>
      </c>
      <c r="G19" s="137">
        <v>4.5454545454545459</v>
      </c>
      <c r="H19" s="137">
        <v>20.913043478260871</v>
      </c>
      <c r="I19" s="138">
        <v>8</v>
      </c>
      <c r="J19" s="139">
        <v>92.9</v>
      </c>
      <c r="K19" s="140">
        <v>2.2999999999999998</v>
      </c>
      <c r="L19" s="140">
        <v>91</v>
      </c>
      <c r="M19" s="140">
        <v>30</v>
      </c>
      <c r="N19" s="140">
        <v>25</v>
      </c>
      <c r="O19" s="140">
        <v>40</v>
      </c>
      <c r="P19" s="141"/>
      <c r="Q19" s="141"/>
      <c r="R19" s="141"/>
      <c r="S19" s="140">
        <v>306</v>
      </c>
      <c r="T19" s="537"/>
      <c r="U19" s="547"/>
      <c r="V19" s="542">
        <v>310</v>
      </c>
      <c r="W19" s="139"/>
      <c r="X19" s="142"/>
    </row>
    <row r="20" spans="1:24" ht="15" x14ac:dyDescent="0.25">
      <c r="A20" s="531">
        <v>19</v>
      </c>
      <c r="B20" s="143" t="s">
        <v>55</v>
      </c>
      <c r="C20" s="144">
        <v>0</v>
      </c>
      <c r="D20" s="144">
        <v>0</v>
      </c>
      <c r="E20" s="144">
        <v>0</v>
      </c>
      <c r="F20" s="144">
        <v>0</v>
      </c>
      <c r="G20" s="148">
        <v>47.480620199999997</v>
      </c>
      <c r="H20" s="146">
        <v>37.5</v>
      </c>
      <c r="I20" s="144"/>
      <c r="J20" s="147"/>
      <c r="K20" s="144"/>
      <c r="L20" s="144"/>
      <c r="M20" s="144"/>
      <c r="N20" s="144"/>
      <c r="O20" s="144"/>
      <c r="P20" s="148">
        <v>0.44742728999999998</v>
      </c>
      <c r="Q20" s="148">
        <v>0.41163311000000002</v>
      </c>
      <c r="R20" s="148">
        <v>0.92</v>
      </c>
      <c r="S20" s="149">
        <v>44.7</v>
      </c>
      <c r="T20" s="149">
        <v>18.399999999999999</v>
      </c>
      <c r="U20" s="532">
        <v>20</v>
      </c>
      <c r="V20" s="149">
        <v>662.5</v>
      </c>
      <c r="W20" s="149">
        <v>599</v>
      </c>
      <c r="X20" s="150">
        <v>100</v>
      </c>
    </row>
    <row r="21" spans="1:24" ht="15" x14ac:dyDescent="0.25">
      <c r="A21" s="531">
        <v>20</v>
      </c>
      <c r="B21" s="152" t="s">
        <v>55</v>
      </c>
      <c r="C21" s="153">
        <v>0</v>
      </c>
      <c r="D21" s="153">
        <v>0</v>
      </c>
      <c r="E21" s="153">
        <v>0</v>
      </c>
      <c r="F21" s="153">
        <v>0</v>
      </c>
      <c r="G21" s="161">
        <v>49.418604700000003</v>
      </c>
      <c r="H21" s="155">
        <v>48.863636399999997</v>
      </c>
      <c r="I21" s="153"/>
      <c r="J21" s="156"/>
      <c r="K21" s="153"/>
      <c r="L21" s="153"/>
      <c r="M21" s="153"/>
      <c r="N21" s="153"/>
      <c r="O21" s="153"/>
      <c r="P21" s="161">
        <v>0.25917927000000002</v>
      </c>
      <c r="Q21" s="161">
        <v>0.38660907</v>
      </c>
      <c r="R21" s="161">
        <v>1.4916666700000001</v>
      </c>
      <c r="S21" s="158">
        <v>46.3</v>
      </c>
      <c r="T21" s="158">
        <v>17.899999999999999</v>
      </c>
      <c r="U21" s="159">
        <v>12</v>
      </c>
      <c r="V21" s="158">
        <v>632</v>
      </c>
      <c r="W21" s="158">
        <v>104</v>
      </c>
      <c r="X21" s="160">
        <v>110</v>
      </c>
    </row>
    <row r="22" spans="1:24" ht="15" x14ac:dyDescent="0.25">
      <c r="A22" s="531">
        <v>21</v>
      </c>
      <c r="B22" s="152" t="s">
        <v>55</v>
      </c>
      <c r="C22" s="153">
        <v>0</v>
      </c>
      <c r="D22" s="153">
        <v>0</v>
      </c>
      <c r="E22" s="153">
        <v>0</v>
      </c>
      <c r="F22" s="153">
        <v>0</v>
      </c>
      <c r="G22" s="161">
        <v>57.170542699999999</v>
      </c>
      <c r="H22" s="155">
        <v>20.454545499999998</v>
      </c>
      <c r="I22" s="153"/>
      <c r="J22" s="156"/>
      <c r="K22" s="153"/>
      <c r="L22" s="153"/>
      <c r="M22" s="153"/>
      <c r="N22" s="153"/>
      <c r="O22" s="153"/>
      <c r="P22" s="161">
        <v>0.28021015999999999</v>
      </c>
      <c r="Q22" s="161">
        <v>0.88791593999999996</v>
      </c>
      <c r="R22" s="161">
        <v>3.1687500000000002</v>
      </c>
      <c r="S22" s="158">
        <v>57.1</v>
      </c>
      <c r="T22" s="158">
        <v>50.7</v>
      </c>
      <c r="U22" s="159">
        <v>16</v>
      </c>
      <c r="V22" s="158">
        <v>693</v>
      </c>
      <c r="W22" s="158">
        <v>804</v>
      </c>
      <c r="X22" s="160">
        <v>191</v>
      </c>
    </row>
    <row r="23" spans="1:24" ht="15" x14ac:dyDescent="0.25">
      <c r="A23" s="531">
        <v>22</v>
      </c>
      <c r="B23" s="152" t="s">
        <v>55</v>
      </c>
      <c r="C23" s="153">
        <v>0</v>
      </c>
      <c r="D23" s="153">
        <v>0</v>
      </c>
      <c r="E23" s="153">
        <v>0</v>
      </c>
      <c r="F23" s="153">
        <v>0</v>
      </c>
      <c r="G23" s="161">
        <v>67.829457399999995</v>
      </c>
      <c r="H23" s="155">
        <v>37.5</v>
      </c>
      <c r="I23" s="153"/>
      <c r="J23" s="156"/>
      <c r="K23" s="153"/>
      <c r="L23" s="153"/>
      <c r="M23" s="153"/>
      <c r="N23" s="153"/>
      <c r="O23" s="153"/>
      <c r="P23" s="161">
        <v>0.24640656999999999</v>
      </c>
      <c r="Q23" s="161"/>
      <c r="R23" s="161"/>
      <c r="S23" s="158">
        <v>48.7</v>
      </c>
      <c r="T23" s="162"/>
      <c r="U23" s="159">
        <v>12</v>
      </c>
      <c r="V23" s="158">
        <v>697.4</v>
      </c>
      <c r="W23" s="162"/>
      <c r="X23" s="160">
        <v>566</v>
      </c>
    </row>
    <row r="24" spans="1:24" ht="15" x14ac:dyDescent="0.25">
      <c r="A24" s="531">
        <v>23</v>
      </c>
      <c r="B24" s="163" t="s">
        <v>55</v>
      </c>
      <c r="C24" s="164">
        <v>0</v>
      </c>
      <c r="D24" s="164">
        <v>1</v>
      </c>
      <c r="E24" s="164">
        <v>0</v>
      </c>
      <c r="F24" s="164">
        <v>0</v>
      </c>
      <c r="G24" s="165">
        <v>59.59</v>
      </c>
      <c r="H24" s="166">
        <v>42.045454599999999</v>
      </c>
      <c r="I24" s="164"/>
      <c r="J24" s="167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8"/>
    </row>
    <row r="25" spans="1:24" ht="15" x14ac:dyDescent="0.25">
      <c r="A25" s="531">
        <v>24</v>
      </c>
      <c r="B25" s="163" t="s">
        <v>55</v>
      </c>
      <c r="C25" s="164">
        <v>0</v>
      </c>
      <c r="D25" s="164">
        <v>1</v>
      </c>
      <c r="E25" s="164">
        <v>0</v>
      </c>
      <c r="F25" s="164">
        <v>0</v>
      </c>
      <c r="G25" s="165">
        <v>61.53</v>
      </c>
      <c r="H25" s="170">
        <v>51.136363699999997</v>
      </c>
      <c r="I25" s="164"/>
      <c r="J25" s="167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8"/>
    </row>
    <row r="26" spans="1:24" ht="15" x14ac:dyDescent="0.25">
      <c r="A26" s="531">
        <v>25</v>
      </c>
      <c r="B26" s="163" t="s">
        <v>55</v>
      </c>
      <c r="C26" s="164">
        <v>0</v>
      </c>
      <c r="D26" s="164">
        <v>1</v>
      </c>
      <c r="E26" s="164">
        <v>0</v>
      </c>
      <c r="F26" s="164">
        <v>0</v>
      </c>
      <c r="G26" s="165">
        <v>35.369999999999997</v>
      </c>
      <c r="H26" s="170">
        <v>40.340909099999998</v>
      </c>
      <c r="I26" s="164"/>
      <c r="J26" s="167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8"/>
    </row>
    <row r="27" spans="1:24" ht="15" x14ac:dyDescent="0.25">
      <c r="A27" s="531">
        <v>26</v>
      </c>
      <c r="B27" s="163" t="s">
        <v>55</v>
      </c>
      <c r="C27" s="164">
        <v>0</v>
      </c>
      <c r="D27" s="164">
        <v>1</v>
      </c>
      <c r="E27" s="164">
        <v>0</v>
      </c>
      <c r="F27" s="164">
        <v>0</v>
      </c>
      <c r="G27" s="165">
        <v>38.76</v>
      </c>
      <c r="H27" s="170">
        <v>40.340909099999998</v>
      </c>
      <c r="I27" s="164"/>
      <c r="J27" s="167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8"/>
    </row>
    <row r="28" spans="1:24" ht="15" x14ac:dyDescent="0.25">
      <c r="A28" s="531">
        <v>27</v>
      </c>
      <c r="B28" s="171" t="s">
        <v>55</v>
      </c>
      <c r="C28" s="172">
        <v>0</v>
      </c>
      <c r="D28" s="172">
        <v>2</v>
      </c>
      <c r="E28" s="172">
        <v>0</v>
      </c>
      <c r="F28" s="172">
        <v>0</v>
      </c>
      <c r="G28" s="176">
        <v>39.729999999999997</v>
      </c>
      <c r="H28" s="174">
        <v>40.909090900000002</v>
      </c>
      <c r="I28" s="172"/>
      <c r="J28" s="175"/>
      <c r="K28" s="172"/>
      <c r="L28" s="172"/>
      <c r="M28" s="172"/>
      <c r="N28" s="172"/>
      <c r="O28" s="172"/>
      <c r="P28" s="176">
        <v>7.6394190000000001E-2</v>
      </c>
      <c r="Q28" s="176">
        <v>0.23529412</v>
      </c>
      <c r="R28" s="176">
        <v>3.08</v>
      </c>
      <c r="S28" s="177">
        <v>130.9</v>
      </c>
      <c r="T28" s="177">
        <v>30.8</v>
      </c>
      <c r="U28" s="178">
        <v>10</v>
      </c>
      <c r="V28" s="177">
        <v>636.4</v>
      </c>
      <c r="W28" s="177">
        <v>759</v>
      </c>
      <c r="X28" s="179">
        <v>808</v>
      </c>
    </row>
    <row r="29" spans="1:24" ht="15" x14ac:dyDescent="0.25">
      <c r="A29" s="531">
        <v>28</v>
      </c>
      <c r="B29" s="171" t="s">
        <v>55</v>
      </c>
      <c r="C29" s="172">
        <v>0</v>
      </c>
      <c r="D29" s="172">
        <v>2</v>
      </c>
      <c r="E29" s="172">
        <v>0</v>
      </c>
      <c r="F29" s="172">
        <v>0</v>
      </c>
      <c r="G29" s="176">
        <v>30.04</v>
      </c>
      <c r="H29" s="181">
        <v>33.5227273</v>
      </c>
      <c r="I29" s="172"/>
      <c r="J29" s="175"/>
      <c r="K29" s="172"/>
      <c r="L29" s="172"/>
      <c r="M29" s="172"/>
      <c r="N29" s="172"/>
      <c r="O29" s="172"/>
      <c r="P29" s="176">
        <v>0.17080745</v>
      </c>
      <c r="Q29" s="176">
        <v>0.60248447000000005</v>
      </c>
      <c r="R29" s="176">
        <v>3.52727273</v>
      </c>
      <c r="S29" s="177">
        <v>64.400000000000006</v>
      </c>
      <c r="T29" s="177">
        <v>38.799999999999997</v>
      </c>
      <c r="U29" s="178">
        <v>11</v>
      </c>
      <c r="V29" s="177">
        <v>658.2</v>
      </c>
      <c r="W29" s="177">
        <v>660</v>
      </c>
      <c r="X29" s="179">
        <v>668</v>
      </c>
    </row>
    <row r="30" spans="1:24" ht="15" x14ac:dyDescent="0.25">
      <c r="A30" s="531">
        <v>29</v>
      </c>
      <c r="B30" s="171" t="s">
        <v>55</v>
      </c>
      <c r="C30" s="172">
        <v>0</v>
      </c>
      <c r="D30" s="172">
        <v>2</v>
      </c>
      <c r="E30" s="172">
        <v>0</v>
      </c>
      <c r="F30" s="172">
        <v>0</v>
      </c>
      <c r="G30" s="176">
        <v>46.03</v>
      </c>
      <c r="H30" s="181">
        <v>39.7727273</v>
      </c>
      <c r="I30" s="172"/>
      <c r="J30" s="175"/>
      <c r="K30" s="172"/>
      <c r="L30" s="172"/>
      <c r="M30" s="172"/>
      <c r="N30" s="172"/>
      <c r="O30" s="172"/>
      <c r="P30" s="176">
        <v>0.12936611000000001</v>
      </c>
      <c r="Q30" s="176">
        <v>0.23027167000000001</v>
      </c>
      <c r="R30" s="176">
        <v>1.78</v>
      </c>
      <c r="S30" s="177">
        <v>77.3</v>
      </c>
      <c r="T30" s="177">
        <v>17.8</v>
      </c>
      <c r="U30" s="178">
        <v>10</v>
      </c>
      <c r="V30" s="177">
        <v>640.70000000000005</v>
      </c>
      <c r="W30" s="177">
        <v>665</v>
      </c>
      <c r="X30" s="179">
        <v>920</v>
      </c>
    </row>
    <row r="31" spans="1:24" ht="15.75" thickBot="1" x14ac:dyDescent="0.3">
      <c r="A31" s="531">
        <v>30</v>
      </c>
      <c r="B31" s="182" t="s">
        <v>55</v>
      </c>
      <c r="C31" s="183">
        <v>0</v>
      </c>
      <c r="D31" s="183">
        <v>2</v>
      </c>
      <c r="E31" s="183">
        <v>0</v>
      </c>
      <c r="F31" s="183">
        <v>0</v>
      </c>
      <c r="G31" s="188">
        <v>64.44</v>
      </c>
      <c r="H31" s="185">
        <v>39.7727273</v>
      </c>
      <c r="I31" s="186"/>
      <c r="J31" s="187"/>
      <c r="K31" s="183"/>
      <c r="L31" s="183"/>
      <c r="M31" s="183"/>
      <c r="N31" s="183"/>
      <c r="O31" s="183"/>
      <c r="P31" s="188">
        <v>0.38626609000000001</v>
      </c>
      <c r="Q31" s="188">
        <v>0.75321888000000004</v>
      </c>
      <c r="R31" s="188">
        <v>1.95</v>
      </c>
      <c r="S31" s="189">
        <v>46.6</v>
      </c>
      <c r="T31" s="189">
        <v>35.1</v>
      </c>
      <c r="U31" s="190">
        <v>18</v>
      </c>
      <c r="V31" s="189">
        <v>723.5</v>
      </c>
      <c r="W31" s="189">
        <v>131</v>
      </c>
      <c r="X31" s="191">
        <v>130</v>
      </c>
    </row>
    <row r="32" spans="1:24" ht="15" x14ac:dyDescent="0.25">
      <c r="A32" s="531">
        <v>31</v>
      </c>
      <c r="B32" s="192" t="s">
        <v>55</v>
      </c>
      <c r="C32" s="193">
        <v>1</v>
      </c>
      <c r="D32" s="193">
        <v>0</v>
      </c>
      <c r="E32" s="198">
        <v>75</v>
      </c>
      <c r="F32" s="198">
        <v>17.857142899999999</v>
      </c>
      <c r="G32" s="198">
        <v>70.25</v>
      </c>
      <c r="H32" s="195">
        <v>47.159090900000002</v>
      </c>
      <c r="I32" s="198"/>
      <c r="J32" s="197">
        <v>67.27</v>
      </c>
      <c r="K32" s="193"/>
      <c r="L32" s="193"/>
      <c r="M32" s="193"/>
      <c r="N32" s="193"/>
      <c r="O32" s="193"/>
      <c r="P32" s="198">
        <v>0.31674207999999998</v>
      </c>
      <c r="Q32" s="198">
        <v>0.35746605999999997</v>
      </c>
      <c r="R32" s="198">
        <v>1.12857143</v>
      </c>
      <c r="S32" s="199">
        <v>44.2</v>
      </c>
      <c r="T32" s="199">
        <v>15.8</v>
      </c>
      <c r="U32" s="200">
        <v>14</v>
      </c>
      <c r="V32" s="199">
        <v>636.4</v>
      </c>
      <c r="W32" s="199">
        <v>883</v>
      </c>
      <c r="X32" s="201">
        <v>150</v>
      </c>
    </row>
    <row r="33" spans="1:24" ht="15" x14ac:dyDescent="0.25">
      <c r="A33" s="531">
        <v>32</v>
      </c>
      <c r="B33" s="203" t="s">
        <v>55</v>
      </c>
      <c r="C33" s="204">
        <v>1</v>
      </c>
      <c r="D33" s="204">
        <v>0</v>
      </c>
      <c r="E33" s="214">
        <v>85.294117700000001</v>
      </c>
      <c r="F33" s="211">
        <v>29.411764699999999</v>
      </c>
      <c r="G33" s="214">
        <v>83.82</v>
      </c>
      <c r="H33" s="207">
        <v>35.2272727</v>
      </c>
      <c r="I33" s="211"/>
      <c r="J33" s="209">
        <v>63.19</v>
      </c>
      <c r="K33" s="204"/>
      <c r="L33" s="204"/>
      <c r="M33" s="204"/>
      <c r="N33" s="204"/>
      <c r="O33" s="204"/>
      <c r="P33" s="214">
        <v>0.37383178</v>
      </c>
      <c r="Q33" s="214">
        <v>0.58177570000000001</v>
      </c>
      <c r="R33" s="214">
        <v>1.5562499999999999</v>
      </c>
      <c r="S33" s="211">
        <v>42.8</v>
      </c>
      <c r="T33" s="211">
        <v>24.9</v>
      </c>
      <c r="U33" s="212">
        <v>16</v>
      </c>
      <c r="V33" s="211">
        <v>658.2</v>
      </c>
      <c r="W33" s="211">
        <v>111</v>
      </c>
      <c r="X33" s="213">
        <v>120</v>
      </c>
    </row>
    <row r="34" spans="1:24" ht="15" x14ac:dyDescent="0.25">
      <c r="A34" s="531">
        <v>33</v>
      </c>
      <c r="B34" s="203" t="s">
        <v>55</v>
      </c>
      <c r="C34" s="204">
        <v>1</v>
      </c>
      <c r="D34" s="204">
        <v>0</v>
      </c>
      <c r="E34" s="214">
        <v>86.486486499999998</v>
      </c>
      <c r="F34" s="211">
        <v>24.864864900000001</v>
      </c>
      <c r="G34" s="214" t="s">
        <v>56</v>
      </c>
      <c r="H34" s="207">
        <v>48.863636399999997</v>
      </c>
      <c r="I34" s="211"/>
      <c r="J34" s="209">
        <v>112.11</v>
      </c>
      <c r="K34" s="204"/>
      <c r="L34" s="204"/>
      <c r="M34" s="204"/>
      <c r="N34" s="204"/>
      <c r="O34" s="204"/>
      <c r="P34" s="214">
        <v>0.23076922999999999</v>
      </c>
      <c r="Q34" s="214">
        <v>0.26346153999999999</v>
      </c>
      <c r="R34" s="214">
        <v>1.14166667</v>
      </c>
      <c r="S34" s="211">
        <v>52</v>
      </c>
      <c r="T34" s="211">
        <v>13.7</v>
      </c>
      <c r="U34" s="212">
        <v>12</v>
      </c>
      <c r="V34" s="211">
        <v>636.4</v>
      </c>
      <c r="W34" s="211">
        <v>127</v>
      </c>
      <c r="X34" s="213">
        <v>170</v>
      </c>
    </row>
    <row r="35" spans="1:24" ht="15" x14ac:dyDescent="0.25">
      <c r="A35" s="531">
        <v>34</v>
      </c>
      <c r="B35" s="203" t="s">
        <v>55</v>
      </c>
      <c r="C35" s="204">
        <v>1</v>
      </c>
      <c r="D35" s="204">
        <v>0</v>
      </c>
      <c r="E35" s="214">
        <v>72.413793100000007</v>
      </c>
      <c r="F35" s="211">
        <v>15.862068969999999</v>
      </c>
      <c r="G35" s="214">
        <v>87.69</v>
      </c>
      <c r="H35" s="207">
        <v>55.681818200000002</v>
      </c>
      <c r="I35" s="211"/>
      <c r="J35" s="209">
        <v>78.48</v>
      </c>
      <c r="K35" s="204"/>
      <c r="L35" s="204"/>
      <c r="M35" s="204"/>
      <c r="N35" s="204"/>
      <c r="O35" s="204"/>
      <c r="P35" s="214"/>
      <c r="Q35" s="214">
        <v>0.25914397</v>
      </c>
      <c r="R35" s="214"/>
      <c r="S35" s="211">
        <v>128.5</v>
      </c>
      <c r="T35" s="211">
        <v>33.299999999999997</v>
      </c>
      <c r="U35" s="215"/>
      <c r="V35" s="211">
        <v>610.20000000000005</v>
      </c>
      <c r="W35" s="211">
        <v>105</v>
      </c>
      <c r="X35" s="216"/>
    </row>
    <row r="36" spans="1:24" ht="15" x14ac:dyDescent="0.25">
      <c r="A36" s="531">
        <v>35</v>
      </c>
      <c r="B36" s="217" t="s">
        <v>55</v>
      </c>
      <c r="C36" s="218">
        <v>1</v>
      </c>
      <c r="D36" s="218">
        <v>1</v>
      </c>
      <c r="E36" s="222">
        <v>75</v>
      </c>
      <c r="F36" s="222">
        <v>11.071428600000001</v>
      </c>
      <c r="G36" s="222">
        <v>108.042636</v>
      </c>
      <c r="H36" s="220">
        <v>38.068181799999998</v>
      </c>
      <c r="I36" s="222"/>
      <c r="J36" s="221">
        <v>58.09</v>
      </c>
      <c r="K36" s="218"/>
      <c r="L36" s="218"/>
      <c r="M36" s="218"/>
      <c r="N36" s="218"/>
      <c r="O36" s="218"/>
      <c r="P36" s="222"/>
      <c r="Q36" s="218"/>
      <c r="R36" s="222"/>
      <c r="S36" s="218"/>
      <c r="T36" s="222"/>
      <c r="U36" s="218"/>
      <c r="V36" s="222"/>
      <c r="W36" s="218"/>
      <c r="X36" s="223"/>
    </row>
    <row r="37" spans="1:24" ht="15" x14ac:dyDescent="0.25">
      <c r="A37" s="531">
        <v>36</v>
      </c>
      <c r="B37" s="217" t="s">
        <v>55</v>
      </c>
      <c r="C37" s="218">
        <v>1</v>
      </c>
      <c r="D37" s="218">
        <v>1</v>
      </c>
      <c r="E37" s="222">
        <v>97.142857100000001</v>
      </c>
      <c r="F37" s="225">
        <v>20.285714299999999</v>
      </c>
      <c r="G37" s="222">
        <v>84.302325600000003</v>
      </c>
      <c r="H37" s="226">
        <v>48.295454599999999</v>
      </c>
      <c r="I37" s="225"/>
      <c r="J37" s="227">
        <v>100.9</v>
      </c>
      <c r="K37" s="218"/>
      <c r="L37" s="218"/>
      <c r="M37" s="218"/>
      <c r="N37" s="218"/>
      <c r="O37" s="218"/>
      <c r="P37" s="222"/>
      <c r="Q37" s="218"/>
      <c r="R37" s="222"/>
      <c r="S37" s="218"/>
      <c r="T37" s="222"/>
      <c r="U37" s="218"/>
      <c r="V37" s="222"/>
      <c r="W37" s="218"/>
      <c r="X37" s="223"/>
    </row>
    <row r="38" spans="1:24" ht="15" x14ac:dyDescent="0.25">
      <c r="A38" s="531">
        <v>37</v>
      </c>
      <c r="B38" s="217" t="s">
        <v>55</v>
      </c>
      <c r="C38" s="218">
        <v>1</v>
      </c>
      <c r="D38" s="218">
        <v>1</v>
      </c>
      <c r="E38" s="222">
        <v>90.476190500000001</v>
      </c>
      <c r="F38" s="225">
        <v>31.6666667</v>
      </c>
      <c r="G38" s="222">
        <v>94.9612403</v>
      </c>
      <c r="H38" s="226">
        <v>41.4772727</v>
      </c>
      <c r="I38" s="225"/>
      <c r="J38" s="227">
        <v>83.57</v>
      </c>
      <c r="K38" s="218"/>
      <c r="L38" s="218"/>
      <c r="M38" s="218"/>
      <c r="N38" s="218"/>
      <c r="O38" s="218"/>
      <c r="P38" s="222"/>
      <c r="Q38" s="218"/>
      <c r="R38" s="222"/>
      <c r="S38" s="218"/>
      <c r="T38" s="222"/>
      <c r="U38" s="218"/>
      <c r="V38" s="222"/>
      <c r="W38" s="218"/>
      <c r="X38" s="223"/>
    </row>
    <row r="39" spans="1:24" ht="15" x14ac:dyDescent="0.25">
      <c r="A39" s="531">
        <v>38</v>
      </c>
      <c r="B39" s="217" t="s">
        <v>55</v>
      </c>
      <c r="C39" s="218">
        <v>1</v>
      </c>
      <c r="D39" s="218">
        <v>1</v>
      </c>
      <c r="E39" s="222">
        <v>48.387096769999999</v>
      </c>
      <c r="F39" s="222">
        <v>7.4193548390000004</v>
      </c>
      <c r="G39" s="222">
        <v>83.333333400000001</v>
      </c>
      <c r="H39" s="226">
        <v>51.704545500000002</v>
      </c>
      <c r="I39" s="225"/>
      <c r="J39" s="227">
        <v>20.38</v>
      </c>
      <c r="K39" s="218"/>
      <c r="L39" s="218"/>
      <c r="M39" s="218"/>
      <c r="N39" s="218"/>
      <c r="O39" s="218"/>
      <c r="P39" s="222"/>
      <c r="Q39" s="218"/>
      <c r="R39" s="222"/>
      <c r="S39" s="218"/>
      <c r="T39" s="222"/>
      <c r="U39" s="218"/>
      <c r="V39" s="222"/>
      <c r="W39" s="218"/>
      <c r="X39" s="223"/>
    </row>
    <row r="40" spans="1:24" ht="15" x14ac:dyDescent="0.25">
      <c r="A40" s="531">
        <v>39</v>
      </c>
      <c r="B40" s="228" t="s">
        <v>55</v>
      </c>
      <c r="C40" s="229">
        <v>1</v>
      </c>
      <c r="D40" s="229">
        <v>2</v>
      </c>
      <c r="E40" s="234">
        <v>78.787878800000001</v>
      </c>
      <c r="F40" s="234">
        <v>22.121212100000001</v>
      </c>
      <c r="G40" s="234">
        <v>96.41</v>
      </c>
      <c r="H40" s="231">
        <v>59.090909099999998</v>
      </c>
      <c r="I40" s="232"/>
      <c r="J40" s="233">
        <v>55.04</v>
      </c>
      <c r="K40" s="229"/>
      <c r="L40" s="229"/>
      <c r="M40" s="229"/>
      <c r="N40" s="229"/>
      <c r="O40" s="229"/>
      <c r="P40" s="234">
        <v>0.19438444999999999</v>
      </c>
      <c r="Q40" s="234">
        <v>0.30237581000000002</v>
      </c>
      <c r="R40" s="234">
        <v>1.5555555599999999</v>
      </c>
      <c r="S40" s="239">
        <v>92.6</v>
      </c>
      <c r="T40" s="239">
        <v>28</v>
      </c>
      <c r="U40" s="236">
        <v>18</v>
      </c>
      <c r="V40" s="239">
        <v>632</v>
      </c>
      <c r="W40" s="239">
        <v>113</v>
      </c>
      <c r="X40" s="237">
        <v>574</v>
      </c>
    </row>
    <row r="41" spans="1:24" ht="15" x14ac:dyDescent="0.25">
      <c r="A41" s="531">
        <v>40</v>
      </c>
      <c r="B41" s="228" t="s">
        <v>55</v>
      </c>
      <c r="C41" s="229">
        <v>1</v>
      </c>
      <c r="D41" s="229">
        <v>2</v>
      </c>
      <c r="E41" s="234">
        <v>80.4878049</v>
      </c>
      <c r="F41" s="239">
        <v>22.926829300000001</v>
      </c>
      <c r="G41" s="234">
        <v>97.87</v>
      </c>
      <c r="H41" s="240">
        <v>58.5227273</v>
      </c>
      <c r="I41" s="229"/>
      <c r="J41" s="241">
        <v>27.52</v>
      </c>
      <c r="K41" s="229"/>
      <c r="L41" s="229"/>
      <c r="M41" s="229"/>
      <c r="N41" s="229"/>
      <c r="O41" s="229"/>
      <c r="P41" s="234">
        <v>0.10805501000000001</v>
      </c>
      <c r="Q41" s="234">
        <v>0.18123771999999999</v>
      </c>
      <c r="R41" s="234">
        <v>1.6772727300000001</v>
      </c>
      <c r="S41" s="239">
        <v>203.6</v>
      </c>
      <c r="T41" s="239">
        <v>36.9</v>
      </c>
      <c r="U41" s="236">
        <v>22</v>
      </c>
      <c r="V41" s="239">
        <v>662.5</v>
      </c>
      <c r="W41" s="239">
        <v>993</v>
      </c>
      <c r="X41" s="237">
        <v>817</v>
      </c>
    </row>
    <row r="42" spans="1:24" ht="15" x14ac:dyDescent="0.25">
      <c r="A42" s="531">
        <v>41</v>
      </c>
      <c r="B42" s="228" t="s">
        <v>55</v>
      </c>
      <c r="C42" s="229">
        <v>1</v>
      </c>
      <c r="D42" s="229">
        <v>2</v>
      </c>
      <c r="E42" s="234">
        <v>78.571428600000004</v>
      </c>
      <c r="F42" s="239">
        <v>17.428571399999999</v>
      </c>
      <c r="G42" s="234">
        <v>77.52</v>
      </c>
      <c r="H42" s="240">
        <v>43.181818200000002</v>
      </c>
      <c r="I42" s="229"/>
      <c r="J42" s="241">
        <v>61.15</v>
      </c>
      <c r="K42" s="229"/>
      <c r="L42" s="229"/>
      <c r="M42" s="229"/>
      <c r="N42" s="229"/>
      <c r="O42" s="229"/>
      <c r="P42" s="234">
        <v>0.11928429</v>
      </c>
      <c r="Q42" s="234">
        <v>0.19615639000000001</v>
      </c>
      <c r="R42" s="234">
        <v>1.64444444</v>
      </c>
      <c r="S42" s="239">
        <v>150.9</v>
      </c>
      <c r="T42" s="239">
        <v>29.6</v>
      </c>
      <c r="U42" s="236">
        <v>18</v>
      </c>
      <c r="V42" s="239">
        <v>658.2</v>
      </c>
      <c r="W42" s="239">
        <v>110</v>
      </c>
      <c r="X42" s="237">
        <v>751</v>
      </c>
    </row>
    <row r="43" spans="1:24" ht="15.75" thickBot="1" x14ac:dyDescent="0.3">
      <c r="A43" s="531">
        <v>42</v>
      </c>
      <c r="B43" s="242" t="s">
        <v>55</v>
      </c>
      <c r="C43" s="248">
        <v>1</v>
      </c>
      <c r="D43" s="248">
        <v>2</v>
      </c>
      <c r="E43" s="245">
        <v>68.571428569999995</v>
      </c>
      <c r="F43" s="245">
        <v>17.38095238</v>
      </c>
      <c r="G43" s="245">
        <v>84.79</v>
      </c>
      <c r="H43" s="246">
        <v>64.204545499999995</v>
      </c>
      <c r="I43" s="248"/>
      <c r="J43" s="247">
        <v>60.13</v>
      </c>
      <c r="K43" s="248"/>
      <c r="L43" s="248"/>
      <c r="M43" s="248"/>
      <c r="N43" s="248"/>
      <c r="O43" s="248"/>
      <c r="P43" s="248"/>
      <c r="Q43" s="248"/>
      <c r="R43" s="248"/>
      <c r="S43" s="249"/>
      <c r="T43" s="249"/>
      <c r="U43" s="249"/>
      <c r="V43" s="249"/>
      <c r="W43" s="249"/>
      <c r="X43" s="25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 vivo eeg gt</vt:lpstr>
      <vt:lpstr>TABLA TOTAL</vt:lpstr>
      <vt:lpstr>glomalina in vitro </vt:lpstr>
      <vt:lpstr>glomalina tesina</vt:lpstr>
      <vt:lpstr>DOS FACTORES</vt:lpstr>
      <vt:lpstr>lh</vt:lpstr>
      <vt:lpstr>LH CU para graphpad</vt:lpstr>
      <vt:lpstr>tabla grande+agregación</vt:lpstr>
      <vt:lpstr>frx in vitro</vt:lpstr>
      <vt:lpstr>BC y FT</vt:lpstr>
      <vt:lpstr>frx in vivo datos crudos</vt:lpstr>
      <vt:lpstr>P in vitro</vt:lpstr>
      <vt:lpstr>Datos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Lab</cp:lastModifiedBy>
  <dcterms:created xsi:type="dcterms:W3CDTF">2020-05-01T15:48:08Z</dcterms:created>
  <dcterms:modified xsi:type="dcterms:W3CDTF">2026-04-09T17:14:03Z</dcterms:modified>
</cp:coreProperties>
</file>