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auta\Documents\GitHub\Cobre\"/>
    </mc:Choice>
  </mc:AlternateContent>
  <xr:revisionPtr revIDLastSave="0" documentId="13_ncr:1_{129C65E5-4F51-48AA-8CE9-BB891B638DE9}" xr6:coauthVersionLast="47" xr6:coauthVersionMax="47" xr10:uidLastSave="{00000000-0000-0000-0000-000000000000}"/>
  <bookViews>
    <workbookView xWindow="2304" yWindow="2304" windowWidth="14400" windowHeight="9036" tabRatio="236" xr2:uid="{00000000-000D-0000-FFFF-FFFF00000000}"/>
  </bookViews>
  <sheets>
    <sheet name="Tabla general" sheetId="1" r:id="rId1"/>
    <sheet name="relativizado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0" i="2" l="1"/>
  <c r="J3" i="2"/>
  <c r="J4" i="2"/>
  <c r="J5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I20" i="2"/>
  <c r="J2" i="2"/>
  <c r="I3" i="2"/>
  <c r="I4" i="2"/>
  <c r="I5" i="2"/>
  <c r="I6" i="2"/>
  <c r="I8" i="2"/>
  <c r="I9" i="2"/>
  <c r="I10" i="2"/>
  <c r="I11" i="2"/>
  <c r="I12" i="2"/>
  <c r="I13" i="2"/>
  <c r="I14" i="2"/>
  <c r="I15" i="2"/>
  <c r="I16" i="2"/>
  <c r="I17" i="2"/>
  <c r="I18" i="2"/>
  <c r="I19" i="2"/>
  <c r="I2" i="2"/>
  <c r="G20" i="2"/>
  <c r="H20" i="2"/>
  <c r="AO20" i="1" l="1"/>
  <c r="AP20" i="1"/>
  <c r="AP21" i="1" l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O21" i="1" l="1"/>
  <c r="AO22" i="1"/>
  <c r="AO28" i="1"/>
  <c r="AO29" i="1"/>
  <c r="AO30" i="1"/>
  <c r="AO31" i="1"/>
  <c r="AO32" i="1"/>
  <c r="AO33" i="1"/>
  <c r="AO34" i="1"/>
  <c r="AO35" i="1"/>
  <c r="AO40" i="1"/>
  <c r="AO41" i="1"/>
  <c r="AO42" i="1"/>
  <c r="AK20" i="1"/>
  <c r="AK24" i="1"/>
  <c r="AK22" i="1"/>
</calcChain>
</file>

<file path=xl/sharedStrings.xml><?xml version="1.0" encoding="utf-8"?>
<sst xmlns="http://schemas.openxmlformats.org/spreadsheetml/2006/main" count="132" uniqueCount="53">
  <si>
    <t>id</t>
  </si>
  <si>
    <t>Medio</t>
  </si>
  <si>
    <t>Inoculo</t>
  </si>
  <si>
    <t>Cu</t>
  </si>
  <si>
    <t>gfe</t>
  </si>
  <si>
    <t>gt</t>
  </si>
  <si>
    <t>Fe</t>
  </si>
  <si>
    <t>Zn</t>
  </si>
  <si>
    <t>Cr</t>
  </si>
  <si>
    <t>Ni</t>
  </si>
  <si>
    <t>Pb</t>
  </si>
  <si>
    <t>FT</t>
  </si>
  <si>
    <t>in vivo</t>
  </si>
  <si>
    <t>80.91</t>
  </si>
  <si>
    <t>Lhif</t>
  </si>
  <si>
    <t>BCRaiz</t>
  </si>
  <si>
    <t>BCTallo</t>
  </si>
  <si>
    <t>CuSuelo</t>
  </si>
  <si>
    <t>CuRaiz</t>
  </si>
  <si>
    <t>PSuelo</t>
  </si>
  <si>
    <t>PRaiz</t>
  </si>
  <si>
    <t>Frec</t>
  </si>
  <si>
    <t>Int</t>
  </si>
  <si>
    <t>CuVastago</t>
  </si>
  <si>
    <t>pf raiz</t>
  </si>
  <si>
    <t>p seco raiz</t>
  </si>
  <si>
    <t>largo vasta</t>
  </si>
  <si>
    <t>pf aer</t>
  </si>
  <si>
    <t>p s aereo</t>
  </si>
  <si>
    <t>RAIZ+TIERRA</t>
  </si>
  <si>
    <t>adherido</t>
  </si>
  <si>
    <t>EE</t>
  </si>
  <si>
    <t>PStotal</t>
  </si>
  <si>
    <t>PVastago</t>
  </si>
  <si>
    <t>in vitro</t>
  </si>
  <si>
    <t>Arb</t>
  </si>
  <si>
    <t>Vesic</t>
  </si>
  <si>
    <t>EsporasIntraRad</t>
  </si>
  <si>
    <t>Entrada</t>
  </si>
  <si>
    <t>MicelioMM</t>
  </si>
  <si>
    <t>MicelioS</t>
  </si>
  <si>
    <t>EsporasMM</t>
  </si>
  <si>
    <t>EsporasS</t>
  </si>
  <si>
    <t>LargoRaizMM</t>
  </si>
  <si>
    <t>MicelioExtraTincion</t>
  </si>
  <si>
    <t>in vitro</t>
  </si>
  <si>
    <t>MM</t>
  </si>
  <si>
    <t>S</t>
  </si>
  <si>
    <t>NA</t>
  </si>
  <si>
    <t>Micelio</t>
  </si>
  <si>
    <t>Esporas</t>
  </si>
  <si>
    <t>MicelioPla</t>
  </si>
  <si>
    <t xml:space="preserve">EsporasPla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</si>
</sst>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Arial"/>
    </font>
    <font>
      <sz val="10"/>
      <color theme="1"/>
      <name val="Arial"/>
    </font>
    <font>
      <sz val="11"/>
      <color theme="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theme="1"/>
      <name val="Calibri"/>
    </font>
    <font>
      <b/>
      <sz val="8"/>
      <color rgb="FF000000"/>
      <name val="Segoe UI"/>
      <family val="2"/>
    </font>
    <font>
      <sz val="8"/>
      <color rgb="FF000000"/>
      <name val="Segoe UI"/>
      <family val="2"/>
    </font>
    <font>
      <i/>
      <sz val="8"/>
      <color rgb="FFB0B0B0"/>
      <name val="Segoe UI"/>
      <family val="2"/>
    </font>
  </fonts>
  <fills count="1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FA8DC"/>
        <bgColor rgb="FF6FA8DC"/>
      </patternFill>
    </fill>
    <fill>
      <patternFill patternType="solid">
        <fgColor rgb="FFFFFF00"/>
        <bgColor rgb="FFF9CB9C"/>
      </patternFill>
    </fill>
    <fill>
      <patternFill patternType="solid">
        <fgColor rgb="FFFFFFFF"/>
        <bgColor indexed="64"/>
      </patternFill>
    </fill>
    <fill>
      <patternFill patternType="solid">
        <fgColor rgb="FFF4F8F9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D6DADC"/>
      </right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2">
    <xf numFmtId="0" fontId="0" fillId="0" borderId="0"/>
    <xf numFmtId="0" fontId="1" fillId="0" borderId="0"/>
  </cellStyleXfs>
  <cellXfs count="178">
    <xf numFmtId="0" fontId="0" fillId="0" borderId="0" xfId="0"/>
    <xf numFmtId="0" fontId="1" fillId="0" borderId="0" xfId="1"/>
    <xf numFmtId="0" fontId="5" fillId="0" borderId="1" xfId="1" applyFont="1" applyBorder="1" applyAlignment="1">
      <alignment horizontal="center"/>
    </xf>
    <xf numFmtId="2" fontId="5" fillId="0" borderId="1" xfId="1" applyNumberFormat="1" applyFont="1" applyBorder="1" applyAlignment="1">
      <alignment horizontal="center"/>
    </xf>
    <xf numFmtId="0" fontId="5" fillId="0" borderId="1" xfId="1" applyFont="1" applyBorder="1" applyAlignment="1">
      <alignment horizontal="center" wrapText="1"/>
    </xf>
    <xf numFmtId="0" fontId="6" fillId="0" borderId="1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4" fillId="2" borderId="5" xfId="1" applyFont="1" applyFill="1" applyBorder="1" applyAlignment="1">
      <alignment horizontal="center"/>
    </xf>
    <xf numFmtId="2" fontId="4" fillId="2" borderId="5" xfId="1" applyNumberFormat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4" fillId="2" borderId="5" xfId="1" applyFont="1" applyFill="1" applyBorder="1" applyAlignment="1">
      <alignment horizontal="center" wrapText="1"/>
    </xf>
    <xf numFmtId="0" fontId="3" fillId="2" borderId="6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center"/>
    </xf>
    <xf numFmtId="2" fontId="4" fillId="2" borderId="4" xfId="1" applyNumberFormat="1" applyFont="1" applyFill="1" applyBorder="1" applyAlignment="1">
      <alignment horizontal="center"/>
    </xf>
    <xf numFmtId="0" fontId="3" fillId="2" borderId="4" xfId="1" applyFont="1" applyFill="1" applyBorder="1" applyAlignment="1">
      <alignment horizontal="center"/>
    </xf>
    <xf numFmtId="0" fontId="3" fillId="2" borderId="7" xfId="1" applyFont="1" applyFill="1" applyBorder="1" applyAlignment="1">
      <alignment horizontal="center"/>
    </xf>
    <xf numFmtId="0" fontId="4" fillId="3" borderId="4" xfId="1" applyFont="1" applyFill="1" applyBorder="1" applyAlignment="1">
      <alignment horizontal="center"/>
    </xf>
    <xf numFmtId="2" fontId="4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4" fillId="3" borderId="4" xfId="1" applyFont="1" applyFill="1" applyBorder="1" applyAlignment="1">
      <alignment horizontal="center" wrapText="1"/>
    </xf>
    <xf numFmtId="0" fontId="3" fillId="3" borderId="7" xfId="1" applyFont="1" applyFill="1" applyBorder="1" applyAlignment="1">
      <alignment horizontal="center"/>
    </xf>
    <xf numFmtId="0" fontId="4" fillId="4" borderId="4" xfId="1" applyFont="1" applyFill="1" applyBorder="1" applyAlignment="1">
      <alignment horizontal="center"/>
    </xf>
    <xf numFmtId="2" fontId="4" fillId="4" borderId="4" xfId="1" applyNumberFormat="1" applyFont="1" applyFill="1" applyBorder="1" applyAlignment="1">
      <alignment horizontal="center"/>
    </xf>
    <xf numFmtId="0" fontId="4" fillId="4" borderId="8" xfId="1" applyFont="1" applyFill="1" applyBorder="1" applyAlignment="1">
      <alignment horizontal="center"/>
    </xf>
    <xf numFmtId="0" fontId="4" fillId="4" borderId="4" xfId="1" applyFont="1" applyFill="1" applyBorder="1" applyAlignment="1">
      <alignment horizontal="center" wrapText="1"/>
    </xf>
    <xf numFmtId="0" fontId="3" fillId="4" borderId="4" xfId="1" applyFont="1" applyFill="1" applyBorder="1" applyAlignment="1">
      <alignment horizontal="center"/>
    </xf>
    <xf numFmtId="0" fontId="3" fillId="4" borderId="7" xfId="1" applyFont="1" applyFill="1" applyBorder="1" applyAlignment="1">
      <alignment horizontal="center"/>
    </xf>
    <xf numFmtId="2" fontId="4" fillId="4" borderId="8" xfId="1" applyNumberFormat="1" applyFont="1" applyFill="1" applyBorder="1" applyAlignment="1">
      <alignment horizontal="center"/>
    </xf>
    <xf numFmtId="0" fontId="4" fillId="4" borderId="8" xfId="1" applyFont="1" applyFill="1" applyBorder="1" applyAlignment="1">
      <alignment horizontal="center" wrapText="1"/>
    </xf>
    <xf numFmtId="0" fontId="3" fillId="4" borderId="8" xfId="1" applyFont="1" applyFill="1" applyBorder="1" applyAlignment="1">
      <alignment horizontal="center"/>
    </xf>
    <xf numFmtId="0" fontId="3" fillId="4" borderId="9" xfId="1" applyFont="1" applyFill="1" applyBorder="1" applyAlignment="1">
      <alignment horizontal="center"/>
    </xf>
    <xf numFmtId="0" fontId="4" fillId="5" borderId="5" xfId="1" applyFont="1" applyFill="1" applyBorder="1" applyAlignment="1">
      <alignment horizontal="center"/>
    </xf>
    <xf numFmtId="2" fontId="4" fillId="5" borderId="5" xfId="1" applyNumberFormat="1" applyFont="1" applyFill="1" applyBorder="1" applyAlignment="1">
      <alignment horizontal="center"/>
    </xf>
    <xf numFmtId="0" fontId="3" fillId="5" borderId="5" xfId="1" applyFont="1" applyFill="1" applyBorder="1" applyAlignment="1">
      <alignment horizontal="center"/>
    </xf>
    <xf numFmtId="0" fontId="4" fillId="5" borderId="5" xfId="1" applyFont="1" applyFill="1" applyBorder="1" applyAlignment="1">
      <alignment horizontal="center" wrapText="1"/>
    </xf>
    <xf numFmtId="0" fontId="3" fillId="5" borderId="6" xfId="1" applyFont="1" applyFill="1" applyBorder="1" applyAlignment="1">
      <alignment horizontal="center"/>
    </xf>
    <xf numFmtId="0" fontId="4" fillId="5" borderId="4" xfId="1" applyFont="1" applyFill="1" applyBorder="1" applyAlignment="1">
      <alignment horizontal="center"/>
    </xf>
    <xf numFmtId="2" fontId="4" fillId="5" borderId="4" xfId="1" applyNumberFormat="1" applyFont="1" applyFill="1" applyBorder="1" applyAlignment="1">
      <alignment horizontal="center"/>
    </xf>
    <xf numFmtId="0" fontId="3" fillId="5" borderId="4" xfId="1" applyFont="1" applyFill="1" applyBorder="1" applyAlignment="1">
      <alignment horizontal="center"/>
    </xf>
    <xf numFmtId="0" fontId="4" fillId="5" borderId="4" xfId="1" applyFont="1" applyFill="1" applyBorder="1" applyAlignment="1">
      <alignment horizontal="center" wrapText="1"/>
    </xf>
    <xf numFmtId="0" fontId="3" fillId="5" borderId="7" xfId="1" applyFont="1" applyFill="1" applyBorder="1" applyAlignment="1">
      <alignment horizontal="center"/>
    </xf>
    <xf numFmtId="0" fontId="4" fillId="6" borderId="4" xfId="1" applyFont="1" applyFill="1" applyBorder="1" applyAlignment="1">
      <alignment horizontal="center"/>
    </xf>
    <xf numFmtId="2" fontId="4" fillId="6" borderId="4" xfId="1" applyNumberFormat="1" applyFont="1" applyFill="1" applyBorder="1" applyAlignment="1">
      <alignment horizontal="center"/>
    </xf>
    <xf numFmtId="0" fontId="3" fillId="6" borderId="4" xfId="1" applyFont="1" applyFill="1" applyBorder="1" applyAlignment="1">
      <alignment horizontal="center"/>
    </xf>
    <xf numFmtId="0" fontId="4" fillId="6" borderId="4" xfId="1" applyFont="1" applyFill="1" applyBorder="1" applyAlignment="1">
      <alignment horizontal="center" wrapText="1"/>
    </xf>
    <xf numFmtId="0" fontId="3" fillId="6" borderId="7" xfId="1" applyFont="1" applyFill="1" applyBorder="1" applyAlignment="1">
      <alignment horizontal="center"/>
    </xf>
    <xf numFmtId="2" fontId="3" fillId="6" borderId="4" xfId="1" applyNumberFormat="1" applyFont="1" applyFill="1" applyBorder="1" applyAlignment="1">
      <alignment horizontal="center"/>
    </xf>
    <xf numFmtId="0" fontId="4" fillId="7" borderId="4" xfId="1" applyFont="1" applyFill="1" applyBorder="1" applyAlignment="1">
      <alignment horizontal="center"/>
    </xf>
    <xf numFmtId="2" fontId="4" fillId="7" borderId="4" xfId="1" applyNumberFormat="1" applyFont="1" applyFill="1" applyBorder="1" applyAlignment="1">
      <alignment horizontal="center"/>
    </xf>
    <xf numFmtId="0" fontId="3" fillId="7" borderId="4" xfId="1" applyFont="1" applyFill="1" applyBorder="1" applyAlignment="1">
      <alignment horizontal="center"/>
    </xf>
    <xf numFmtId="0" fontId="4" fillId="7" borderId="4" xfId="1" applyFont="1" applyFill="1" applyBorder="1" applyAlignment="1">
      <alignment horizontal="center" wrapText="1"/>
    </xf>
    <xf numFmtId="0" fontId="3" fillId="7" borderId="7" xfId="1" applyFont="1" applyFill="1" applyBorder="1" applyAlignment="1">
      <alignment horizontal="center"/>
    </xf>
    <xf numFmtId="0" fontId="4" fillId="7" borderId="13" xfId="1" applyFont="1" applyFill="1" applyBorder="1" applyAlignment="1">
      <alignment horizontal="center"/>
    </xf>
    <xf numFmtId="2" fontId="4" fillId="7" borderId="13" xfId="1" applyNumberFormat="1" applyFont="1" applyFill="1" applyBorder="1" applyAlignment="1">
      <alignment horizontal="center"/>
    </xf>
    <xf numFmtId="0" fontId="3" fillId="7" borderId="13" xfId="1" applyFont="1" applyFill="1" applyBorder="1" applyAlignment="1">
      <alignment horizontal="center"/>
    </xf>
    <xf numFmtId="0" fontId="4" fillId="7" borderId="13" xfId="1" applyFont="1" applyFill="1" applyBorder="1" applyAlignment="1">
      <alignment horizontal="center" wrapText="1"/>
    </xf>
    <xf numFmtId="0" fontId="3" fillId="7" borderId="14" xfId="1" applyFont="1" applyFill="1" applyBorder="1" applyAlignment="1">
      <alignment horizontal="center"/>
    </xf>
    <xf numFmtId="0" fontId="4" fillId="8" borderId="10" xfId="1" applyFont="1" applyFill="1" applyBorder="1" applyAlignment="1">
      <alignment horizontal="center"/>
    </xf>
    <xf numFmtId="0" fontId="4" fillId="8" borderId="5" xfId="1" applyFont="1" applyFill="1" applyBorder="1" applyAlignment="1">
      <alignment horizontal="center"/>
    </xf>
    <xf numFmtId="2" fontId="4" fillId="8" borderId="5" xfId="1" applyNumberFormat="1" applyFont="1" applyFill="1" applyBorder="1" applyAlignment="1">
      <alignment horizontal="center"/>
    </xf>
    <xf numFmtId="2" fontId="4" fillId="8" borderId="15" xfId="1" applyNumberFormat="1" applyFont="1" applyFill="1" applyBorder="1" applyAlignment="1">
      <alignment horizontal="center"/>
    </xf>
    <xf numFmtId="0" fontId="4" fillId="8" borderId="16" xfId="1" applyFont="1" applyFill="1" applyBorder="1" applyAlignment="1">
      <alignment horizontal="center"/>
    </xf>
    <xf numFmtId="2" fontId="4" fillId="8" borderId="5" xfId="1" applyNumberFormat="1" applyFont="1" applyFill="1" applyBorder="1" applyAlignment="1">
      <alignment horizontal="center" wrapText="1"/>
    </xf>
    <xf numFmtId="2" fontId="2" fillId="8" borderId="6" xfId="1" applyNumberFormat="1" applyFont="1" applyFill="1" applyBorder="1" applyAlignment="1">
      <alignment horizontal="center" wrapText="1"/>
    </xf>
    <xf numFmtId="0" fontId="4" fillId="8" borderId="11" xfId="1" applyFont="1" applyFill="1" applyBorder="1" applyAlignment="1">
      <alignment horizontal="center"/>
    </xf>
    <xf numFmtId="0" fontId="4" fillId="8" borderId="4" xfId="1" applyFont="1" applyFill="1" applyBorder="1" applyAlignment="1">
      <alignment horizontal="center"/>
    </xf>
    <xf numFmtId="2" fontId="4" fillId="8" borderId="4" xfId="1" applyNumberFormat="1" applyFont="1" applyFill="1" applyBorder="1" applyAlignment="1">
      <alignment horizontal="center"/>
    </xf>
    <xf numFmtId="2" fontId="4" fillId="8" borderId="17" xfId="1" applyNumberFormat="1" applyFont="1" applyFill="1" applyBorder="1" applyAlignment="1">
      <alignment horizontal="center" wrapText="1"/>
    </xf>
    <xf numFmtId="0" fontId="4" fillId="8" borderId="18" xfId="1" applyFont="1" applyFill="1" applyBorder="1" applyAlignment="1">
      <alignment horizontal="center"/>
    </xf>
    <xf numFmtId="2" fontId="4" fillId="8" borderId="4" xfId="1" applyNumberFormat="1" applyFont="1" applyFill="1" applyBorder="1" applyAlignment="1">
      <alignment horizontal="center" wrapText="1"/>
    </xf>
    <xf numFmtId="2" fontId="2" fillId="8" borderId="4" xfId="1" applyNumberFormat="1" applyFont="1" applyFill="1" applyBorder="1" applyAlignment="1">
      <alignment horizontal="center" wrapText="1"/>
    </xf>
    <xf numFmtId="2" fontId="2" fillId="8" borderId="7" xfId="1" applyNumberFormat="1" applyFont="1" applyFill="1" applyBorder="1" applyAlignment="1">
      <alignment horizontal="center" wrapText="1"/>
    </xf>
    <xf numFmtId="2" fontId="3" fillId="8" borderId="4" xfId="1" applyNumberFormat="1" applyFont="1" applyFill="1" applyBorder="1" applyAlignment="1">
      <alignment horizontal="center"/>
    </xf>
    <xf numFmtId="0" fontId="4" fillId="9" borderId="11" xfId="1" applyFont="1" applyFill="1" applyBorder="1" applyAlignment="1">
      <alignment horizontal="center"/>
    </xf>
    <xf numFmtId="0" fontId="4" fillId="9" borderId="4" xfId="1" applyFont="1" applyFill="1" applyBorder="1" applyAlignment="1">
      <alignment horizontal="center"/>
    </xf>
    <xf numFmtId="2" fontId="4" fillId="9" borderId="4" xfId="1" applyNumberFormat="1" applyFont="1" applyFill="1" applyBorder="1" applyAlignment="1">
      <alignment horizontal="center"/>
    </xf>
    <xf numFmtId="2" fontId="4" fillId="9" borderId="17" xfId="1" applyNumberFormat="1" applyFont="1" applyFill="1" applyBorder="1" applyAlignment="1">
      <alignment horizontal="center"/>
    </xf>
    <xf numFmtId="0" fontId="4" fillId="9" borderId="18" xfId="1" applyFont="1" applyFill="1" applyBorder="1" applyAlignment="1">
      <alignment horizontal="center"/>
    </xf>
    <xf numFmtId="0" fontId="4" fillId="9" borderId="7" xfId="1" applyFont="1" applyFill="1" applyBorder="1" applyAlignment="1">
      <alignment horizontal="center"/>
    </xf>
    <xf numFmtId="2" fontId="4" fillId="9" borderId="17" xfId="1" applyNumberFormat="1" applyFont="1" applyFill="1" applyBorder="1" applyAlignment="1">
      <alignment horizontal="center" wrapText="1"/>
    </xf>
    <xf numFmtId="0" fontId="4" fillId="10" borderId="11" xfId="1" applyFont="1" applyFill="1" applyBorder="1" applyAlignment="1">
      <alignment horizontal="center"/>
    </xf>
    <xf numFmtId="0" fontId="4" fillId="10" borderId="4" xfId="1" applyFont="1" applyFill="1" applyBorder="1" applyAlignment="1">
      <alignment horizontal="center"/>
    </xf>
    <xf numFmtId="2" fontId="4" fillId="10" borderId="4" xfId="1" applyNumberFormat="1" applyFont="1" applyFill="1" applyBorder="1" applyAlignment="1">
      <alignment horizontal="center"/>
    </xf>
    <xf numFmtId="2" fontId="4" fillId="10" borderId="17" xfId="1" applyNumberFormat="1" applyFont="1" applyFill="1" applyBorder="1" applyAlignment="1">
      <alignment horizontal="center"/>
    </xf>
    <xf numFmtId="0" fontId="4" fillId="10" borderId="18" xfId="1" applyFont="1" applyFill="1" applyBorder="1" applyAlignment="1">
      <alignment horizontal="center"/>
    </xf>
    <xf numFmtId="2" fontId="4" fillId="10" borderId="4" xfId="1" applyNumberFormat="1" applyFont="1" applyFill="1" applyBorder="1" applyAlignment="1">
      <alignment horizontal="center" wrapText="1"/>
    </xf>
    <xf numFmtId="2" fontId="2" fillId="10" borderId="4" xfId="1" applyNumberFormat="1" applyFont="1" applyFill="1" applyBorder="1" applyAlignment="1">
      <alignment horizontal="center" wrapText="1"/>
    </xf>
    <xf numFmtId="2" fontId="2" fillId="10" borderId="7" xfId="1" applyNumberFormat="1" applyFont="1" applyFill="1" applyBorder="1" applyAlignment="1">
      <alignment horizontal="center" wrapText="1"/>
    </xf>
    <xf numFmtId="2" fontId="4" fillId="10" borderId="17" xfId="1" applyNumberFormat="1" applyFont="1" applyFill="1" applyBorder="1" applyAlignment="1">
      <alignment horizontal="center" wrapText="1"/>
    </xf>
    <xf numFmtId="0" fontId="4" fillId="10" borderId="12" xfId="1" applyFont="1" applyFill="1" applyBorder="1" applyAlignment="1">
      <alignment horizontal="center"/>
    </xf>
    <xf numFmtId="0" fontId="4" fillId="10" borderId="13" xfId="1" applyFont="1" applyFill="1" applyBorder="1" applyAlignment="1">
      <alignment horizontal="center"/>
    </xf>
    <xf numFmtId="2" fontId="4" fillId="10" borderId="13" xfId="1" applyNumberFormat="1" applyFont="1" applyFill="1" applyBorder="1" applyAlignment="1">
      <alignment horizontal="center"/>
    </xf>
    <xf numFmtId="2" fontId="4" fillId="10" borderId="19" xfId="1" applyNumberFormat="1" applyFont="1" applyFill="1" applyBorder="1" applyAlignment="1">
      <alignment horizontal="center" wrapText="1"/>
    </xf>
    <xf numFmtId="0" fontId="4" fillId="10" borderId="20" xfId="1" applyFont="1" applyFill="1" applyBorder="1" applyAlignment="1">
      <alignment horizontal="center"/>
    </xf>
    <xf numFmtId="2" fontId="4" fillId="10" borderId="13" xfId="1" applyNumberFormat="1" applyFont="1" applyFill="1" applyBorder="1" applyAlignment="1">
      <alignment horizontal="center" wrapText="1"/>
    </xf>
    <xf numFmtId="2" fontId="2" fillId="10" borderId="13" xfId="1" applyNumberFormat="1" applyFont="1" applyFill="1" applyBorder="1" applyAlignment="1">
      <alignment horizontal="center" wrapText="1"/>
    </xf>
    <xf numFmtId="2" fontId="2" fillId="10" borderId="14" xfId="1" applyNumberFormat="1" applyFont="1" applyFill="1" applyBorder="1" applyAlignment="1">
      <alignment horizontal="center" wrapText="1"/>
    </xf>
    <xf numFmtId="0" fontId="4" fillId="11" borderId="10" xfId="1" applyFont="1" applyFill="1" applyBorder="1" applyAlignment="1">
      <alignment horizontal="center"/>
    </xf>
    <xf numFmtId="0" fontId="4" fillId="11" borderId="5" xfId="1" applyFont="1" applyFill="1" applyBorder="1" applyAlignment="1">
      <alignment horizontal="center"/>
    </xf>
    <xf numFmtId="2" fontId="4" fillId="11" borderId="5" xfId="1" applyNumberFormat="1" applyFont="1" applyFill="1" applyBorder="1" applyAlignment="1">
      <alignment horizontal="center"/>
    </xf>
    <xf numFmtId="2" fontId="4" fillId="11" borderId="15" xfId="1" applyNumberFormat="1" applyFont="1" applyFill="1" applyBorder="1" applyAlignment="1">
      <alignment horizontal="center"/>
    </xf>
    <xf numFmtId="2" fontId="4" fillId="11" borderId="16" xfId="1" applyNumberFormat="1" applyFont="1" applyFill="1" applyBorder="1" applyAlignment="1">
      <alignment horizontal="center"/>
    </xf>
    <xf numFmtId="2" fontId="4" fillId="11" borderId="5" xfId="1" applyNumberFormat="1" applyFont="1" applyFill="1" applyBorder="1" applyAlignment="1">
      <alignment horizontal="center" wrapText="1"/>
    </xf>
    <xf numFmtId="2" fontId="2" fillId="11" borderId="5" xfId="1" applyNumberFormat="1" applyFont="1" applyFill="1" applyBorder="1" applyAlignment="1">
      <alignment horizontal="center" wrapText="1"/>
    </xf>
    <xf numFmtId="2" fontId="2" fillId="11" borderId="6" xfId="1" applyNumberFormat="1" applyFont="1" applyFill="1" applyBorder="1" applyAlignment="1">
      <alignment horizontal="center" wrapText="1"/>
    </xf>
    <xf numFmtId="0" fontId="4" fillId="11" borderId="11" xfId="1" applyFont="1" applyFill="1" applyBorder="1" applyAlignment="1">
      <alignment horizontal="center"/>
    </xf>
    <xf numFmtId="0" fontId="4" fillId="11" borderId="4" xfId="1" applyFont="1" applyFill="1" applyBorder="1" applyAlignment="1">
      <alignment horizontal="center"/>
    </xf>
    <xf numFmtId="2" fontId="4" fillId="11" borderId="4" xfId="1" applyNumberFormat="1" applyFont="1" applyFill="1" applyBorder="1" applyAlignment="1">
      <alignment horizontal="center"/>
    </xf>
    <xf numFmtId="2" fontId="4" fillId="11" borderId="4" xfId="1" applyNumberFormat="1" applyFont="1" applyFill="1" applyBorder="1" applyAlignment="1">
      <alignment horizontal="center" wrapText="1"/>
    </xf>
    <xf numFmtId="2" fontId="4" fillId="11" borderId="17" xfId="1" applyNumberFormat="1" applyFont="1" applyFill="1" applyBorder="1" applyAlignment="1">
      <alignment horizontal="center" wrapText="1"/>
    </xf>
    <xf numFmtId="2" fontId="4" fillId="11" borderId="18" xfId="1" applyNumberFormat="1" applyFont="1" applyFill="1" applyBorder="1" applyAlignment="1">
      <alignment horizontal="center" wrapText="1"/>
    </xf>
    <xf numFmtId="2" fontId="2" fillId="11" borderId="4" xfId="1" applyNumberFormat="1" applyFont="1" applyFill="1" applyBorder="1" applyAlignment="1">
      <alignment horizontal="center" wrapText="1"/>
    </xf>
    <xf numFmtId="2" fontId="2" fillId="11" borderId="7" xfId="1" applyNumberFormat="1" applyFont="1" applyFill="1" applyBorder="1" applyAlignment="1">
      <alignment horizontal="center" wrapText="1"/>
    </xf>
    <xf numFmtId="2" fontId="3" fillId="11" borderId="4" xfId="1" applyNumberFormat="1" applyFont="1" applyFill="1" applyBorder="1" applyAlignment="1">
      <alignment horizontal="center"/>
    </xf>
    <xf numFmtId="2" fontId="3" fillId="11" borderId="7" xfId="1" applyNumberFormat="1" applyFont="1" applyFill="1" applyBorder="1" applyAlignment="1">
      <alignment horizontal="center"/>
    </xf>
    <xf numFmtId="0" fontId="4" fillId="12" borderId="11" xfId="1" applyFont="1" applyFill="1" applyBorder="1" applyAlignment="1">
      <alignment horizontal="center"/>
    </xf>
    <xf numFmtId="0" fontId="4" fillId="12" borderId="4" xfId="1" applyFont="1" applyFill="1" applyBorder="1" applyAlignment="1">
      <alignment horizontal="center"/>
    </xf>
    <xf numFmtId="2" fontId="4" fillId="12" borderId="4" xfId="1" applyNumberFormat="1" applyFont="1" applyFill="1" applyBorder="1" applyAlignment="1">
      <alignment horizontal="center"/>
    </xf>
    <xf numFmtId="2" fontId="4" fillId="12" borderId="17" xfId="1" applyNumberFormat="1" applyFont="1" applyFill="1" applyBorder="1" applyAlignment="1">
      <alignment horizontal="center"/>
    </xf>
    <xf numFmtId="2" fontId="4" fillId="12" borderId="18" xfId="1" applyNumberFormat="1" applyFont="1" applyFill="1" applyBorder="1" applyAlignment="1">
      <alignment horizontal="center"/>
    </xf>
    <xf numFmtId="2" fontId="4" fillId="12" borderId="7" xfId="1" applyNumberFormat="1" applyFont="1" applyFill="1" applyBorder="1" applyAlignment="1">
      <alignment horizontal="center"/>
    </xf>
    <xf numFmtId="2" fontId="4" fillId="12" borderId="4" xfId="1" applyNumberFormat="1" applyFont="1" applyFill="1" applyBorder="1" applyAlignment="1">
      <alignment horizontal="center" wrapText="1"/>
    </xf>
    <xf numFmtId="2" fontId="4" fillId="12" borderId="17" xfId="1" applyNumberFormat="1" applyFont="1" applyFill="1" applyBorder="1" applyAlignment="1">
      <alignment horizontal="center" wrapText="1"/>
    </xf>
    <xf numFmtId="2" fontId="4" fillId="12" borderId="18" xfId="1" applyNumberFormat="1" applyFont="1" applyFill="1" applyBorder="1" applyAlignment="1">
      <alignment horizontal="center" wrapText="1"/>
    </xf>
    <xf numFmtId="0" fontId="4" fillId="13" borderId="11" xfId="1" applyFont="1" applyFill="1" applyBorder="1" applyAlignment="1">
      <alignment horizontal="center"/>
    </xf>
    <xf numFmtId="0" fontId="4" fillId="13" borderId="4" xfId="1" applyFont="1" applyFill="1" applyBorder="1" applyAlignment="1">
      <alignment horizontal="center"/>
    </xf>
    <xf numFmtId="2" fontId="4" fillId="13" borderId="4" xfId="1" applyNumberFormat="1" applyFont="1" applyFill="1" applyBorder="1" applyAlignment="1">
      <alignment horizontal="center"/>
    </xf>
    <xf numFmtId="2" fontId="4" fillId="13" borderId="17" xfId="1" applyNumberFormat="1" applyFont="1" applyFill="1" applyBorder="1" applyAlignment="1">
      <alignment horizontal="center"/>
    </xf>
    <xf numFmtId="2" fontId="4" fillId="13" borderId="18" xfId="1" applyNumberFormat="1" applyFont="1" applyFill="1" applyBorder="1" applyAlignment="1">
      <alignment horizontal="center"/>
    </xf>
    <xf numFmtId="2" fontId="4" fillId="13" borderId="4" xfId="1" applyNumberFormat="1" applyFont="1" applyFill="1" applyBorder="1" applyAlignment="1">
      <alignment horizontal="center" wrapText="1"/>
    </xf>
    <xf numFmtId="2" fontId="2" fillId="13" borderId="4" xfId="1" applyNumberFormat="1" applyFont="1" applyFill="1" applyBorder="1" applyAlignment="1">
      <alignment horizontal="center" wrapText="1"/>
    </xf>
    <xf numFmtId="2" fontId="2" fillId="13" borderId="7" xfId="1" applyNumberFormat="1" applyFont="1" applyFill="1" applyBorder="1" applyAlignment="1">
      <alignment horizontal="center" wrapText="1"/>
    </xf>
    <xf numFmtId="2" fontId="4" fillId="13" borderId="17" xfId="1" applyNumberFormat="1" applyFont="1" applyFill="1" applyBorder="1" applyAlignment="1">
      <alignment horizontal="center" wrapText="1"/>
    </xf>
    <xf numFmtId="2" fontId="4" fillId="13" borderId="18" xfId="1" applyNumberFormat="1" applyFont="1" applyFill="1" applyBorder="1" applyAlignment="1">
      <alignment horizontal="center" wrapText="1"/>
    </xf>
    <xf numFmtId="0" fontId="4" fillId="13" borderId="12" xfId="1" applyFont="1" applyFill="1" applyBorder="1" applyAlignment="1">
      <alignment horizontal="center"/>
    </xf>
    <xf numFmtId="0" fontId="4" fillId="13" borderId="13" xfId="1" applyFont="1" applyFill="1" applyBorder="1" applyAlignment="1">
      <alignment horizontal="center"/>
    </xf>
    <xf numFmtId="2" fontId="4" fillId="13" borderId="13" xfId="1" applyNumberFormat="1" applyFont="1" applyFill="1" applyBorder="1" applyAlignment="1">
      <alignment horizontal="center"/>
    </xf>
    <xf numFmtId="2" fontId="4" fillId="13" borderId="19" xfId="1" applyNumberFormat="1" applyFont="1" applyFill="1" applyBorder="1" applyAlignment="1">
      <alignment horizontal="center" wrapText="1"/>
    </xf>
    <xf numFmtId="2" fontId="4" fillId="13" borderId="20" xfId="1" applyNumberFormat="1" applyFont="1" applyFill="1" applyBorder="1" applyAlignment="1">
      <alignment horizontal="center" wrapText="1"/>
    </xf>
    <xf numFmtId="0" fontId="3" fillId="13" borderId="13" xfId="1" applyFont="1" applyFill="1" applyBorder="1" applyAlignment="1">
      <alignment horizontal="center"/>
    </xf>
    <xf numFmtId="0" fontId="3" fillId="13" borderId="14" xfId="1" applyFont="1" applyFill="1" applyBorder="1" applyAlignment="1">
      <alignment horizontal="center"/>
    </xf>
    <xf numFmtId="2" fontId="2" fillId="8" borderId="3" xfId="1" applyNumberFormat="1" applyFont="1" applyFill="1" applyBorder="1" applyAlignment="1">
      <alignment horizontal="center" wrapText="1"/>
    </xf>
    <xf numFmtId="0" fontId="3" fillId="5" borderId="15" xfId="1" applyFont="1" applyFill="1" applyBorder="1" applyAlignment="1">
      <alignment horizontal="center"/>
    </xf>
    <xf numFmtId="0" fontId="3" fillId="5" borderId="17" xfId="1" applyFont="1" applyFill="1" applyBorder="1" applyAlignment="1">
      <alignment horizontal="center"/>
    </xf>
    <xf numFmtId="0" fontId="3" fillId="6" borderId="17" xfId="1" applyFont="1" applyFill="1" applyBorder="1" applyAlignment="1">
      <alignment horizontal="center"/>
    </xf>
    <xf numFmtId="0" fontId="3" fillId="7" borderId="17" xfId="1" applyFont="1" applyFill="1" applyBorder="1" applyAlignment="1">
      <alignment horizontal="center"/>
    </xf>
    <xf numFmtId="0" fontId="3" fillId="7" borderId="19" xfId="1" applyFont="1" applyFill="1" applyBorder="1" applyAlignment="1">
      <alignment horizontal="center"/>
    </xf>
    <xf numFmtId="0" fontId="3" fillId="5" borderId="16" xfId="1" applyFont="1" applyFill="1" applyBorder="1" applyAlignment="1">
      <alignment horizontal="center"/>
    </xf>
    <xf numFmtId="0" fontId="3" fillId="5" borderId="18" xfId="1" applyFont="1" applyFill="1" applyBorder="1" applyAlignment="1">
      <alignment horizontal="center"/>
    </xf>
    <xf numFmtId="0" fontId="3" fillId="6" borderId="18" xfId="1" applyFont="1" applyFill="1" applyBorder="1" applyAlignment="1">
      <alignment horizontal="center"/>
    </xf>
    <xf numFmtId="0" fontId="3" fillId="7" borderId="18" xfId="1" applyFont="1" applyFill="1" applyBorder="1" applyAlignment="1">
      <alignment horizontal="center"/>
    </xf>
    <xf numFmtId="0" fontId="3" fillId="7" borderId="20" xfId="1" applyFont="1" applyFill="1" applyBorder="1" applyAlignment="1">
      <alignment horizontal="center"/>
    </xf>
    <xf numFmtId="0" fontId="3" fillId="5" borderId="21" xfId="1" applyFont="1" applyFill="1" applyBorder="1" applyAlignment="1">
      <alignment horizontal="center"/>
    </xf>
    <xf numFmtId="0" fontId="3" fillId="5" borderId="22" xfId="1" applyFont="1" applyFill="1" applyBorder="1" applyAlignment="1">
      <alignment horizontal="center"/>
    </xf>
    <xf numFmtId="0" fontId="3" fillId="6" borderId="22" xfId="1" applyFont="1" applyFill="1" applyBorder="1" applyAlignment="1">
      <alignment horizontal="center"/>
    </xf>
    <xf numFmtId="0" fontId="3" fillId="7" borderId="22" xfId="1" applyFont="1" applyFill="1" applyBorder="1" applyAlignment="1">
      <alignment horizontal="center"/>
    </xf>
    <xf numFmtId="0" fontId="3" fillId="7" borderId="23" xfId="1" applyFont="1" applyFill="1" applyBorder="1" applyAlignment="1">
      <alignment horizontal="center"/>
    </xf>
    <xf numFmtId="2" fontId="4" fillId="14" borderId="4" xfId="1" applyNumberFormat="1" applyFont="1" applyFill="1" applyBorder="1" applyAlignment="1">
      <alignment horizontal="center"/>
    </xf>
    <xf numFmtId="0" fontId="0" fillId="0" borderId="24" xfId="0" applyBorder="1"/>
    <xf numFmtId="0" fontId="0" fillId="0" borderId="25" xfId="0" applyBorder="1"/>
    <xf numFmtId="0" fontId="4" fillId="2" borderId="3" xfId="1" applyFont="1" applyFill="1" applyBorder="1" applyAlignment="1">
      <alignment horizontal="center"/>
    </xf>
    <xf numFmtId="0" fontId="6" fillId="0" borderId="26" xfId="1" applyFont="1" applyBorder="1" applyAlignment="1">
      <alignment horizontal="center"/>
    </xf>
    <xf numFmtId="0" fontId="3" fillId="2" borderId="15" xfId="1" applyFont="1" applyFill="1" applyBorder="1" applyAlignment="1">
      <alignment horizontal="center"/>
    </xf>
    <xf numFmtId="0" fontId="3" fillId="2" borderId="17" xfId="1" applyFont="1" applyFill="1" applyBorder="1" applyAlignment="1">
      <alignment horizontal="center"/>
    </xf>
    <xf numFmtId="0" fontId="3" fillId="4" borderId="17" xfId="1" applyFont="1" applyFill="1" applyBorder="1" applyAlignment="1">
      <alignment horizontal="center"/>
    </xf>
    <xf numFmtId="0" fontId="3" fillId="4" borderId="27" xfId="1" applyFont="1" applyFill="1" applyBorder="1" applyAlignment="1">
      <alignment horizontal="center"/>
    </xf>
    <xf numFmtId="2" fontId="4" fillId="8" borderId="15" xfId="1" applyNumberFormat="1" applyFont="1" applyFill="1" applyBorder="1" applyAlignment="1">
      <alignment horizontal="center" wrapText="1"/>
    </xf>
    <xf numFmtId="2" fontId="3" fillId="8" borderId="17" xfId="1" applyNumberFormat="1" applyFont="1" applyFill="1" applyBorder="1" applyAlignment="1">
      <alignment horizontal="center"/>
    </xf>
    <xf numFmtId="0" fontId="4" fillId="9" borderId="17" xfId="1" applyFont="1" applyFill="1" applyBorder="1" applyAlignment="1">
      <alignment horizontal="center"/>
    </xf>
    <xf numFmtId="2" fontId="4" fillId="11" borderId="15" xfId="1" applyNumberFormat="1" applyFont="1" applyFill="1" applyBorder="1" applyAlignment="1">
      <alignment horizontal="center" wrapText="1"/>
    </xf>
    <xf numFmtId="0" fontId="4" fillId="12" borderId="17" xfId="1" applyFont="1" applyFill="1" applyBorder="1" applyAlignment="1">
      <alignment horizontal="center"/>
    </xf>
    <xf numFmtId="0" fontId="3" fillId="13" borderId="19" xfId="1" applyFont="1" applyFill="1" applyBorder="1" applyAlignment="1">
      <alignment horizontal="center"/>
    </xf>
    <xf numFmtId="0" fontId="7" fillId="15" borderId="28" xfId="0" applyFont="1" applyFill="1" applyBorder="1" applyAlignment="1">
      <alignment horizontal="left" vertical="center" wrapText="1"/>
    </xf>
    <xf numFmtId="0" fontId="7" fillId="16" borderId="29" xfId="0" applyFont="1" applyFill="1" applyBorder="1" applyAlignment="1">
      <alignment horizontal="right" vertical="center"/>
    </xf>
    <xf numFmtId="0" fontId="8" fillId="15" borderId="29" xfId="0" applyFont="1" applyFill="1" applyBorder="1" applyAlignment="1">
      <alignment horizontal="right" vertical="center"/>
    </xf>
    <xf numFmtId="0" fontId="8" fillId="15" borderId="29" xfId="0" applyFont="1" applyFill="1" applyBorder="1" applyAlignment="1">
      <alignment vertical="center"/>
    </xf>
    <xf numFmtId="0" fontId="9" fillId="15" borderId="29" xfId="0" applyFont="1" applyFill="1" applyBorder="1" applyAlignment="1">
      <alignment horizontal="right" vertical="center"/>
    </xf>
    <xf numFmtId="0" fontId="7" fillId="15" borderId="0" xfId="0" applyFont="1" applyFill="1" applyAlignment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3"/>
  <sheetViews>
    <sheetView tabSelected="1" topLeftCell="N1" workbookViewId="0">
      <pane ySplit="1" topLeftCell="A10" activePane="bottomLeft" state="frozen"/>
      <selection activeCell="N1" sqref="N1"/>
      <selection pane="bottomLeft" sqref="A1:D1"/>
    </sheetView>
  </sheetViews>
  <sheetFormatPr baseColWidth="10" defaultColWidth="8.90625" defaultRowHeight="14.5" x14ac:dyDescent="0.35"/>
  <cols>
    <col min="1" max="1" width="3" customWidth="1"/>
    <col min="10" max="11" width="14.54296875" customWidth="1"/>
    <col min="12" max="14" width="9.90625" customWidth="1"/>
    <col min="15" max="15" width="15.90625" customWidth="1"/>
    <col min="32" max="32" width="14.54296875" customWidth="1"/>
  </cols>
  <sheetData>
    <row r="1" spans="1:42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21</v>
      </c>
      <c r="F1" s="2" t="s">
        <v>22</v>
      </c>
      <c r="G1" s="2" t="s">
        <v>35</v>
      </c>
      <c r="H1" s="2" t="s">
        <v>36</v>
      </c>
      <c r="I1" s="2" t="s">
        <v>38</v>
      </c>
      <c r="J1" s="2" t="s">
        <v>44</v>
      </c>
      <c r="K1" s="2" t="s">
        <v>39</v>
      </c>
      <c r="L1" s="2" t="s">
        <v>40</v>
      </c>
      <c r="M1" s="2" t="s">
        <v>42</v>
      </c>
      <c r="N1" s="2" t="s">
        <v>41</v>
      </c>
      <c r="O1" s="2" t="s">
        <v>37</v>
      </c>
      <c r="P1" s="3" t="s">
        <v>4</v>
      </c>
      <c r="Q1" s="2" t="s">
        <v>5</v>
      </c>
      <c r="R1" s="2" t="s">
        <v>14</v>
      </c>
      <c r="S1" s="2" t="s">
        <v>6</v>
      </c>
      <c r="T1" s="4" t="s">
        <v>7</v>
      </c>
      <c r="U1" s="4" t="s">
        <v>8</v>
      </c>
      <c r="V1" s="4" t="s">
        <v>9</v>
      </c>
      <c r="W1" s="4" t="s">
        <v>10</v>
      </c>
      <c r="X1" s="2" t="s">
        <v>15</v>
      </c>
      <c r="Y1" s="2" t="s">
        <v>16</v>
      </c>
      <c r="Z1" s="2" t="s">
        <v>11</v>
      </c>
      <c r="AA1" s="5" t="s">
        <v>17</v>
      </c>
      <c r="AB1" s="5" t="s">
        <v>23</v>
      </c>
      <c r="AC1" s="5" t="s">
        <v>18</v>
      </c>
      <c r="AD1" s="5" t="s">
        <v>19</v>
      </c>
      <c r="AE1" s="5" t="s">
        <v>33</v>
      </c>
      <c r="AF1" s="161" t="s">
        <v>43</v>
      </c>
      <c r="AG1" s="6" t="s">
        <v>20</v>
      </c>
      <c r="AH1" s="158" t="s">
        <v>24</v>
      </c>
      <c r="AI1" s="158" t="s">
        <v>25</v>
      </c>
      <c r="AJ1" s="158" t="s">
        <v>26</v>
      </c>
      <c r="AK1" s="158" t="s">
        <v>27</v>
      </c>
      <c r="AL1" s="158" t="s">
        <v>28</v>
      </c>
      <c r="AM1" s="159" t="s">
        <v>29</v>
      </c>
      <c r="AN1" t="s">
        <v>30</v>
      </c>
      <c r="AO1" t="s">
        <v>31</v>
      </c>
      <c r="AP1" t="s">
        <v>32</v>
      </c>
    </row>
    <row r="2" spans="1:42" ht="15" thickBot="1" x14ac:dyDescent="0.4">
      <c r="A2" s="1">
        <v>1</v>
      </c>
      <c r="B2" s="7" t="s">
        <v>34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/>
      <c r="I2" s="7"/>
      <c r="J2" s="7"/>
      <c r="K2" s="7"/>
      <c r="L2" s="7">
        <v>62.7</v>
      </c>
      <c r="M2" s="7"/>
      <c r="N2" s="7"/>
      <c r="O2" s="7"/>
      <c r="P2" s="8">
        <v>5.5172413793103452</v>
      </c>
      <c r="Q2" s="8">
        <v>19.65217391304348</v>
      </c>
      <c r="R2" s="9"/>
      <c r="S2" s="7">
        <v>2.6</v>
      </c>
      <c r="T2" s="10">
        <v>50</v>
      </c>
      <c r="U2" s="10">
        <v>44</v>
      </c>
      <c r="V2" s="10">
        <v>37</v>
      </c>
      <c r="W2" s="10">
        <v>30</v>
      </c>
      <c r="X2" s="7"/>
      <c r="Y2" s="7"/>
      <c r="Z2" s="7"/>
      <c r="AA2" s="10">
        <v>103</v>
      </c>
      <c r="AB2" s="9"/>
      <c r="AC2" s="9"/>
      <c r="AD2" s="9">
        <v>410</v>
      </c>
      <c r="AE2" s="9"/>
      <c r="AF2" s="162">
        <v>459.3</v>
      </c>
      <c r="AG2" s="11"/>
    </row>
    <row r="3" spans="1:42" ht="15" thickBot="1" x14ac:dyDescent="0.4">
      <c r="A3" s="1">
        <v>2</v>
      </c>
      <c r="B3" s="7" t="s">
        <v>34</v>
      </c>
      <c r="C3" s="12">
        <v>0</v>
      </c>
      <c r="D3" s="12">
        <v>0</v>
      </c>
      <c r="E3" s="12">
        <v>0</v>
      </c>
      <c r="F3" s="12">
        <v>0</v>
      </c>
      <c r="G3" s="7">
        <v>0</v>
      </c>
      <c r="H3" s="160"/>
      <c r="I3" s="160"/>
      <c r="J3" s="160"/>
      <c r="K3" s="160"/>
      <c r="L3" s="160">
        <v>101</v>
      </c>
      <c r="M3" s="160"/>
      <c r="N3" s="160"/>
      <c r="O3" s="160"/>
      <c r="P3" s="13">
        <v>4.6394984326018811</v>
      </c>
      <c r="Q3" s="13">
        <v>20.086956521739133</v>
      </c>
      <c r="R3" s="14"/>
      <c r="S3" s="12"/>
      <c r="T3" s="12"/>
      <c r="U3" s="12"/>
      <c r="V3" s="12"/>
      <c r="W3" s="12"/>
      <c r="X3" s="12"/>
      <c r="Y3" s="12"/>
      <c r="Z3" s="12"/>
      <c r="AA3" s="12"/>
      <c r="AB3" s="14"/>
      <c r="AC3" s="14"/>
      <c r="AD3" s="14"/>
      <c r="AE3" s="14"/>
      <c r="AF3" s="163">
        <v>536.6</v>
      </c>
      <c r="AG3" s="15"/>
    </row>
    <row r="4" spans="1:42" x14ac:dyDescent="0.35">
      <c r="A4" s="1">
        <v>3</v>
      </c>
      <c r="B4" s="12" t="s">
        <v>34</v>
      </c>
      <c r="C4" s="12">
        <v>0</v>
      </c>
      <c r="D4" s="12">
        <v>0</v>
      </c>
      <c r="E4" s="12">
        <v>0</v>
      </c>
      <c r="F4" s="12">
        <v>0</v>
      </c>
      <c r="G4" s="7">
        <v>0</v>
      </c>
      <c r="H4" s="160"/>
      <c r="I4" s="160"/>
      <c r="J4" s="160"/>
      <c r="K4" s="160"/>
      <c r="L4" s="160">
        <v>88.5</v>
      </c>
      <c r="M4" s="160"/>
      <c r="N4" s="160"/>
      <c r="O4" s="160"/>
      <c r="P4" s="13">
        <v>4.8902821316614427</v>
      </c>
      <c r="Q4" s="13">
        <v>22</v>
      </c>
      <c r="R4" s="14"/>
      <c r="S4" s="12"/>
      <c r="T4" s="12"/>
      <c r="U4" s="12"/>
      <c r="V4" s="12"/>
      <c r="W4" s="12"/>
      <c r="X4" s="12"/>
      <c r="Y4" s="12"/>
      <c r="Z4" s="12"/>
      <c r="AA4" s="12"/>
      <c r="AB4" s="14"/>
      <c r="AC4" s="14"/>
      <c r="AD4" s="14"/>
      <c r="AE4" s="14"/>
      <c r="AF4" s="163"/>
      <c r="AG4" s="15"/>
    </row>
    <row r="5" spans="1:42" x14ac:dyDescent="0.35">
      <c r="A5" s="1">
        <v>4</v>
      </c>
      <c r="B5" s="16" t="s">
        <v>34</v>
      </c>
      <c r="C5" s="16">
        <v>0</v>
      </c>
      <c r="D5" s="16">
        <v>1</v>
      </c>
      <c r="E5" s="16">
        <v>0</v>
      </c>
      <c r="F5" s="16">
        <v>0</v>
      </c>
      <c r="G5" s="16">
        <v>0</v>
      </c>
      <c r="H5" s="16"/>
      <c r="I5" s="16"/>
      <c r="J5" s="16"/>
      <c r="K5" s="16"/>
      <c r="L5" s="16">
        <v>14.7</v>
      </c>
      <c r="M5" s="16">
        <v>5</v>
      </c>
      <c r="N5" s="16"/>
      <c r="O5" s="16"/>
      <c r="P5" s="17">
        <v>3.0721003134796243</v>
      </c>
      <c r="Q5" s="17">
        <v>22.260869565217391</v>
      </c>
      <c r="R5" s="18"/>
      <c r="S5" s="16">
        <v>2.6</v>
      </c>
      <c r="T5" s="19">
        <v>99</v>
      </c>
      <c r="U5" s="19">
        <v>50</v>
      </c>
      <c r="V5" s="19">
        <v>30</v>
      </c>
      <c r="W5" s="19">
        <v>30</v>
      </c>
      <c r="X5" s="16"/>
      <c r="Y5" s="16"/>
      <c r="Z5" s="16"/>
      <c r="AA5" s="19">
        <v>206</v>
      </c>
      <c r="AB5" s="18"/>
      <c r="AC5" s="18"/>
      <c r="AD5" s="18">
        <v>430</v>
      </c>
      <c r="AE5" s="18"/>
      <c r="AF5" s="18">
        <v>479.2</v>
      </c>
      <c r="AG5" s="20"/>
    </row>
    <row r="6" spans="1:42" x14ac:dyDescent="0.35">
      <c r="A6" s="1">
        <v>5</v>
      </c>
      <c r="B6" s="16" t="s">
        <v>34</v>
      </c>
      <c r="C6" s="16">
        <v>0</v>
      </c>
      <c r="D6" s="16">
        <v>1</v>
      </c>
      <c r="E6" s="16">
        <v>0</v>
      </c>
      <c r="F6" s="16">
        <v>0</v>
      </c>
      <c r="G6" s="16">
        <v>0</v>
      </c>
      <c r="H6" s="16"/>
      <c r="I6" s="16"/>
      <c r="J6" s="16"/>
      <c r="K6" s="16"/>
      <c r="L6" s="16">
        <v>14.7</v>
      </c>
      <c r="M6" s="16">
        <v>5</v>
      </c>
      <c r="N6" s="16"/>
      <c r="O6" s="16"/>
      <c r="P6" s="17">
        <v>5.6457680250783708</v>
      </c>
      <c r="Q6" s="17">
        <v>23.608695652173914</v>
      </c>
      <c r="R6" s="18"/>
      <c r="S6" s="19">
        <v>2.6</v>
      </c>
      <c r="T6" s="19">
        <v>97</v>
      </c>
      <c r="U6" s="19">
        <v>56</v>
      </c>
      <c r="V6" s="19">
        <v>25</v>
      </c>
      <c r="W6" s="19">
        <v>30</v>
      </c>
      <c r="X6" s="16"/>
      <c r="Y6" s="16"/>
      <c r="Z6" s="16"/>
      <c r="AA6" s="19">
        <v>203</v>
      </c>
      <c r="AB6" s="18"/>
      <c r="AC6" s="18"/>
      <c r="AD6" s="18">
        <v>410</v>
      </c>
      <c r="AE6" s="18"/>
      <c r="AF6" s="18">
        <v>421.8</v>
      </c>
      <c r="AG6" s="20"/>
    </row>
    <row r="7" spans="1:42" x14ac:dyDescent="0.35">
      <c r="A7" s="1">
        <v>6</v>
      </c>
      <c r="B7" s="16" t="s">
        <v>34</v>
      </c>
      <c r="C7" s="16">
        <v>0</v>
      </c>
      <c r="D7" s="16">
        <v>1</v>
      </c>
      <c r="E7" s="16">
        <v>0</v>
      </c>
      <c r="F7" s="16">
        <v>0</v>
      </c>
      <c r="G7" s="16">
        <v>0</v>
      </c>
      <c r="H7" s="16"/>
      <c r="I7" s="16"/>
      <c r="J7" s="16"/>
      <c r="K7" s="16"/>
      <c r="L7" s="16">
        <v>15.5</v>
      </c>
      <c r="M7" s="16">
        <v>10</v>
      </c>
      <c r="N7" s="16"/>
      <c r="O7" s="16"/>
      <c r="P7" s="17">
        <v>4.7021943573667713</v>
      </c>
      <c r="Q7" s="17">
        <v>25.913043478260867</v>
      </c>
      <c r="R7" s="18"/>
      <c r="S7" s="19">
        <v>2.6</v>
      </c>
      <c r="T7" s="19">
        <v>100</v>
      </c>
      <c r="U7" s="19">
        <v>42</v>
      </c>
      <c r="V7" s="19">
        <v>32</v>
      </c>
      <c r="W7" s="19">
        <v>30</v>
      </c>
      <c r="X7" s="16"/>
      <c r="Y7" s="16"/>
      <c r="Z7" s="16"/>
      <c r="AA7" s="19">
        <v>184</v>
      </c>
      <c r="AB7" s="18"/>
      <c r="AC7" s="18"/>
      <c r="AD7" s="18">
        <v>430</v>
      </c>
      <c r="AE7" s="18"/>
      <c r="AF7" s="18">
        <v>536.6</v>
      </c>
      <c r="AG7" s="20"/>
    </row>
    <row r="8" spans="1:42" x14ac:dyDescent="0.35">
      <c r="A8" s="1">
        <v>7</v>
      </c>
      <c r="B8" s="21" t="s">
        <v>34</v>
      </c>
      <c r="C8" s="21">
        <v>0</v>
      </c>
      <c r="D8" s="21">
        <v>2</v>
      </c>
      <c r="E8" s="21">
        <v>0</v>
      </c>
      <c r="F8" s="21">
        <v>0</v>
      </c>
      <c r="G8" s="21">
        <v>0</v>
      </c>
      <c r="H8" s="21"/>
      <c r="I8" s="21"/>
      <c r="J8" s="21"/>
      <c r="K8" s="21"/>
      <c r="L8" s="21">
        <v>8.8000000000000007</v>
      </c>
      <c r="M8" s="21">
        <v>5</v>
      </c>
      <c r="N8" s="21"/>
      <c r="O8" s="21"/>
      <c r="P8" s="22">
        <v>3.8557993730407527</v>
      </c>
      <c r="Q8" s="22">
        <v>22</v>
      </c>
      <c r="R8" s="21"/>
      <c r="S8" s="21">
        <v>2.5</v>
      </c>
      <c r="T8" s="24">
        <v>93</v>
      </c>
      <c r="U8" s="24">
        <v>57</v>
      </c>
      <c r="V8" s="24">
        <v>32</v>
      </c>
      <c r="W8" s="24">
        <v>30</v>
      </c>
      <c r="X8" s="21"/>
      <c r="Y8" s="21"/>
      <c r="Z8" s="21"/>
      <c r="AA8" s="24">
        <v>278</v>
      </c>
      <c r="AB8" s="25"/>
      <c r="AC8" s="25"/>
      <c r="AD8" s="25">
        <v>410</v>
      </c>
      <c r="AE8" s="25"/>
      <c r="AF8" s="164">
        <v>319.5</v>
      </c>
      <c r="AG8" s="26"/>
    </row>
    <row r="9" spans="1:42" x14ac:dyDescent="0.35">
      <c r="A9" s="1">
        <v>8</v>
      </c>
      <c r="B9" s="21" t="s">
        <v>34</v>
      </c>
      <c r="C9" s="21">
        <v>0</v>
      </c>
      <c r="D9" s="21">
        <v>2</v>
      </c>
      <c r="E9" s="21">
        <v>0</v>
      </c>
      <c r="F9" s="21">
        <v>0</v>
      </c>
      <c r="G9" s="21">
        <v>0</v>
      </c>
      <c r="H9" s="21"/>
      <c r="I9" s="21"/>
      <c r="J9" s="21"/>
      <c r="K9" s="21"/>
      <c r="L9" s="21">
        <v>8.8000000000000007</v>
      </c>
      <c r="M9" s="21">
        <v>9</v>
      </c>
      <c r="N9" s="21"/>
      <c r="O9" s="21"/>
      <c r="P9" s="22">
        <v>4.3260188087774303</v>
      </c>
      <c r="Q9" s="22">
        <v>22.869565217391305</v>
      </c>
      <c r="R9" s="21"/>
      <c r="S9" s="24">
        <v>2.6</v>
      </c>
      <c r="T9" s="24">
        <v>97</v>
      </c>
      <c r="U9" s="24">
        <v>40</v>
      </c>
      <c r="V9" s="24">
        <v>29</v>
      </c>
      <c r="W9" s="24">
        <v>30</v>
      </c>
      <c r="X9" s="21"/>
      <c r="Y9" s="21"/>
      <c r="Z9" s="21"/>
      <c r="AA9" s="24">
        <v>269</v>
      </c>
      <c r="AB9" s="25"/>
      <c r="AC9" s="25"/>
      <c r="AD9" s="25">
        <v>410</v>
      </c>
      <c r="AE9" s="25"/>
      <c r="AF9" s="164">
        <v>337</v>
      </c>
      <c r="AG9" s="26"/>
    </row>
    <row r="10" spans="1:42" ht="15" thickBot="1" x14ac:dyDescent="0.4">
      <c r="A10" s="1">
        <v>9</v>
      </c>
      <c r="B10" s="23" t="s">
        <v>34</v>
      </c>
      <c r="C10" s="23">
        <v>0</v>
      </c>
      <c r="D10" s="23">
        <v>2</v>
      </c>
      <c r="E10" s="23">
        <v>0</v>
      </c>
      <c r="F10" s="23">
        <v>0</v>
      </c>
      <c r="G10" s="23">
        <v>0</v>
      </c>
      <c r="H10" s="23"/>
      <c r="I10" s="23"/>
      <c r="J10" s="23"/>
      <c r="K10" s="23"/>
      <c r="L10" s="23">
        <v>2.2000000000000002</v>
      </c>
      <c r="M10" s="23">
        <v>7</v>
      </c>
      <c r="N10" s="23"/>
      <c r="O10" s="23"/>
      <c r="P10" s="27">
        <v>4.2946708463949852</v>
      </c>
      <c r="Q10" s="27">
        <v>20.173913043478262</v>
      </c>
      <c r="R10" s="23"/>
      <c r="S10" s="28">
        <v>2.6</v>
      </c>
      <c r="T10" s="28">
        <v>97</v>
      </c>
      <c r="U10" s="28">
        <v>46</v>
      </c>
      <c r="V10" s="28">
        <v>22</v>
      </c>
      <c r="W10" s="28">
        <v>30</v>
      </c>
      <c r="X10" s="23"/>
      <c r="Y10" s="23"/>
      <c r="Z10" s="23"/>
      <c r="AA10" s="28">
        <v>287</v>
      </c>
      <c r="AB10" s="29"/>
      <c r="AC10" s="29"/>
      <c r="AD10" s="29">
        <v>420</v>
      </c>
      <c r="AE10" s="29"/>
      <c r="AF10" s="165">
        <v>549.1</v>
      </c>
      <c r="AG10" s="30"/>
    </row>
    <row r="11" spans="1:42" x14ac:dyDescent="0.35">
      <c r="A11" s="1">
        <v>10</v>
      </c>
      <c r="B11" s="31" t="s">
        <v>34</v>
      </c>
      <c r="C11" s="31">
        <v>1</v>
      </c>
      <c r="D11" s="31">
        <v>0</v>
      </c>
      <c r="E11" s="32">
        <v>95.35</v>
      </c>
      <c r="F11" s="32">
        <v>42.68</v>
      </c>
      <c r="G11" s="32">
        <v>32.93</v>
      </c>
      <c r="H11" s="32">
        <v>48.78</v>
      </c>
      <c r="I11" s="32">
        <v>73.17</v>
      </c>
      <c r="J11" s="32">
        <v>97.56</v>
      </c>
      <c r="K11" s="32">
        <v>2026.8</v>
      </c>
      <c r="L11" s="32">
        <v>62.7</v>
      </c>
      <c r="M11" s="32">
        <v>100</v>
      </c>
      <c r="N11" s="32">
        <v>263</v>
      </c>
      <c r="O11" s="32">
        <v>78.05</v>
      </c>
      <c r="P11" s="32">
        <v>4.2946708463949852</v>
      </c>
      <c r="Q11" s="32">
        <v>20.956521739130434</v>
      </c>
      <c r="R11" s="33">
        <v>62.7</v>
      </c>
      <c r="S11" s="34">
        <v>2.6</v>
      </c>
      <c r="T11" s="34">
        <v>53</v>
      </c>
      <c r="U11" s="34">
        <v>48</v>
      </c>
      <c r="V11" s="34">
        <v>29</v>
      </c>
      <c r="W11" s="34">
        <v>30</v>
      </c>
      <c r="X11" s="31"/>
      <c r="Y11" s="31"/>
      <c r="Z11" s="31"/>
      <c r="AA11" s="34">
        <v>99</v>
      </c>
      <c r="AB11" s="142"/>
      <c r="AC11" s="152"/>
      <c r="AD11" s="147">
        <v>410</v>
      </c>
      <c r="AE11" s="33"/>
      <c r="AF11" s="142">
        <v>693.9</v>
      </c>
      <c r="AG11" s="35"/>
    </row>
    <row r="12" spans="1:42" x14ac:dyDescent="0.35">
      <c r="A12" s="1">
        <v>11</v>
      </c>
      <c r="B12" s="36" t="s">
        <v>34</v>
      </c>
      <c r="C12" s="36">
        <v>1</v>
      </c>
      <c r="D12" s="36">
        <v>0</v>
      </c>
      <c r="E12" s="37">
        <v>87.8</v>
      </c>
      <c r="F12" s="37">
        <v>58.59</v>
      </c>
      <c r="G12" s="37">
        <v>86.11</v>
      </c>
      <c r="H12" s="37">
        <v>69.44</v>
      </c>
      <c r="I12" s="37">
        <v>61.11</v>
      </c>
      <c r="J12" s="37">
        <v>72.72</v>
      </c>
      <c r="K12" s="37">
        <v>596.5</v>
      </c>
      <c r="L12" s="37">
        <v>101</v>
      </c>
      <c r="M12" s="37">
        <v>168</v>
      </c>
      <c r="N12" s="37">
        <v>154</v>
      </c>
      <c r="O12" s="37">
        <v>83.33</v>
      </c>
      <c r="P12" s="37">
        <v>4.0125391849529786</v>
      </c>
      <c r="Q12" s="37">
        <v>23.043478260869566</v>
      </c>
      <c r="R12" s="38">
        <v>101</v>
      </c>
      <c r="S12" s="39">
        <v>2.7</v>
      </c>
      <c r="T12" s="39">
        <v>45</v>
      </c>
      <c r="U12" s="39">
        <v>42</v>
      </c>
      <c r="V12" s="39">
        <v>27</v>
      </c>
      <c r="W12" s="39">
        <v>30</v>
      </c>
      <c r="X12" s="36"/>
      <c r="Y12" s="36"/>
      <c r="Z12" s="36"/>
      <c r="AA12" s="39">
        <v>101</v>
      </c>
      <c r="AB12" s="143"/>
      <c r="AC12" s="153"/>
      <c r="AD12" s="148">
        <v>450</v>
      </c>
      <c r="AE12" s="38"/>
      <c r="AF12" s="143">
        <v>681.4</v>
      </c>
      <c r="AG12" s="40"/>
    </row>
    <row r="13" spans="1:42" x14ac:dyDescent="0.35">
      <c r="A13" s="1">
        <v>12</v>
      </c>
      <c r="B13" s="36" t="s">
        <v>34</v>
      </c>
      <c r="C13" s="36">
        <v>1</v>
      </c>
      <c r="D13" s="36">
        <v>0</v>
      </c>
      <c r="E13" s="37">
        <v>90.25</v>
      </c>
      <c r="F13" s="37">
        <v>47.6</v>
      </c>
      <c r="G13" s="37"/>
      <c r="H13" s="37"/>
      <c r="I13" s="37"/>
      <c r="J13" s="37"/>
      <c r="K13" s="37">
        <v>1297.9000000000001</v>
      </c>
      <c r="L13" s="37"/>
      <c r="M13" s="37">
        <v>154</v>
      </c>
      <c r="N13" s="37"/>
      <c r="O13" s="37"/>
      <c r="P13" s="37"/>
      <c r="Q13" s="37"/>
      <c r="R13" s="38">
        <v>88.5</v>
      </c>
      <c r="S13" s="36"/>
      <c r="T13" s="36"/>
      <c r="U13" s="36"/>
      <c r="V13" s="36"/>
      <c r="W13" s="36"/>
      <c r="X13" s="36"/>
      <c r="Y13" s="36"/>
      <c r="Z13" s="36"/>
      <c r="AA13" s="36"/>
      <c r="AB13" s="143"/>
      <c r="AC13" s="153"/>
      <c r="AD13" s="148"/>
      <c r="AE13" s="38"/>
      <c r="AF13" s="143"/>
      <c r="AG13" s="40"/>
    </row>
    <row r="14" spans="1:42" x14ac:dyDescent="0.35">
      <c r="A14" s="1">
        <v>13</v>
      </c>
      <c r="B14" s="41" t="s">
        <v>34</v>
      </c>
      <c r="C14" s="41">
        <v>1</v>
      </c>
      <c r="D14" s="41">
        <v>1</v>
      </c>
      <c r="E14" s="42">
        <v>82.93</v>
      </c>
      <c r="F14" s="42">
        <v>29.41</v>
      </c>
      <c r="G14" s="42">
        <v>55.88</v>
      </c>
      <c r="H14" s="42">
        <v>32.35</v>
      </c>
      <c r="I14" s="42">
        <v>55.88</v>
      </c>
      <c r="J14" s="42">
        <v>88.23</v>
      </c>
      <c r="K14" s="42">
        <v>2486</v>
      </c>
      <c r="L14" s="42">
        <v>124.6</v>
      </c>
      <c r="M14" s="42">
        <v>184</v>
      </c>
      <c r="N14" s="42">
        <v>93</v>
      </c>
      <c r="O14" s="42">
        <v>44.12</v>
      </c>
      <c r="P14" s="157">
        <v>10.501567398119123</v>
      </c>
      <c r="Q14" s="42">
        <v>19.434782608695652</v>
      </c>
      <c r="R14" s="43">
        <v>124.6</v>
      </c>
      <c r="S14" s="44">
        <v>2.4</v>
      </c>
      <c r="T14" s="44">
        <v>89</v>
      </c>
      <c r="U14" s="44">
        <v>63</v>
      </c>
      <c r="V14" s="44">
        <v>30</v>
      </c>
      <c r="W14" s="44">
        <v>15</v>
      </c>
      <c r="X14" s="41"/>
      <c r="Y14" s="41"/>
      <c r="Z14" s="41"/>
      <c r="AA14" s="44">
        <v>171</v>
      </c>
      <c r="AB14" s="144"/>
      <c r="AC14" s="154"/>
      <c r="AD14" s="149">
        <v>400</v>
      </c>
      <c r="AE14" s="43"/>
      <c r="AF14" s="43">
        <v>451.8</v>
      </c>
      <c r="AG14" s="45"/>
    </row>
    <row r="15" spans="1:42" x14ac:dyDescent="0.35">
      <c r="A15" s="1">
        <v>14</v>
      </c>
      <c r="B15" s="41" t="s">
        <v>34</v>
      </c>
      <c r="C15" s="41">
        <v>1</v>
      </c>
      <c r="D15" s="41">
        <v>1</v>
      </c>
      <c r="E15" s="42">
        <v>86.84</v>
      </c>
      <c r="F15" s="42">
        <v>49.39</v>
      </c>
      <c r="G15" s="42">
        <v>66.67</v>
      </c>
      <c r="H15" s="42">
        <v>15.15</v>
      </c>
      <c r="I15" s="42">
        <v>30.3</v>
      </c>
      <c r="J15" s="42">
        <v>93.93</v>
      </c>
      <c r="K15" s="42">
        <v>414.3</v>
      </c>
      <c r="L15" s="42">
        <v>202</v>
      </c>
      <c r="M15" s="42">
        <v>468</v>
      </c>
      <c r="N15" s="42">
        <v>81</v>
      </c>
      <c r="O15" s="42">
        <v>36.36</v>
      </c>
      <c r="P15" s="42">
        <v>3.949843260188088</v>
      </c>
      <c r="Q15" s="42">
        <v>20.521739130434781</v>
      </c>
      <c r="R15" s="43">
        <v>202</v>
      </c>
      <c r="S15" s="44">
        <v>2.5</v>
      </c>
      <c r="T15" s="44">
        <v>94</v>
      </c>
      <c r="U15" s="44">
        <v>61</v>
      </c>
      <c r="V15" s="44">
        <v>24</v>
      </c>
      <c r="W15" s="44">
        <v>30</v>
      </c>
      <c r="X15" s="41"/>
      <c r="Y15" s="41"/>
      <c r="Z15" s="41"/>
      <c r="AA15" s="44">
        <v>208</v>
      </c>
      <c r="AB15" s="144"/>
      <c r="AC15" s="154"/>
      <c r="AD15" s="149">
        <v>410</v>
      </c>
      <c r="AE15" s="43"/>
      <c r="AF15" s="43">
        <v>486.7</v>
      </c>
      <c r="AG15" s="45"/>
    </row>
    <row r="16" spans="1:42" x14ac:dyDescent="0.35">
      <c r="A16" s="1">
        <v>15</v>
      </c>
      <c r="B16" s="41" t="s">
        <v>34</v>
      </c>
      <c r="C16" s="41">
        <v>1</v>
      </c>
      <c r="D16" s="41">
        <v>1</v>
      </c>
      <c r="E16" s="42">
        <v>81.39</v>
      </c>
      <c r="F16" s="42">
        <v>44.29</v>
      </c>
      <c r="G16" s="42">
        <v>80</v>
      </c>
      <c r="H16" s="42">
        <v>37.14</v>
      </c>
      <c r="I16" s="42">
        <v>45.71</v>
      </c>
      <c r="J16" s="42">
        <v>91.43</v>
      </c>
      <c r="K16" s="42">
        <v>713.9</v>
      </c>
      <c r="L16" s="42">
        <v>133.4</v>
      </c>
      <c r="M16" s="42">
        <v>683</v>
      </c>
      <c r="N16" s="42">
        <v>94</v>
      </c>
      <c r="O16" s="42">
        <v>22.86</v>
      </c>
      <c r="P16" s="42">
        <v>2.7586206896551726</v>
      </c>
      <c r="Q16" s="46"/>
      <c r="R16" s="43">
        <v>133.4</v>
      </c>
      <c r="S16" s="44">
        <v>2.6</v>
      </c>
      <c r="T16" s="44">
        <v>58</v>
      </c>
      <c r="U16" s="44">
        <v>51</v>
      </c>
      <c r="V16" s="44">
        <v>38</v>
      </c>
      <c r="W16" s="44">
        <v>15</v>
      </c>
      <c r="X16" s="41"/>
      <c r="Y16" s="41"/>
      <c r="Z16" s="41"/>
      <c r="AA16" s="44">
        <v>94</v>
      </c>
      <c r="AB16" s="144"/>
      <c r="AC16" s="154"/>
      <c r="AD16" s="149">
        <v>400</v>
      </c>
      <c r="AE16" s="43"/>
      <c r="AF16" s="43">
        <v>526.70000000000005</v>
      </c>
      <c r="AG16" s="45"/>
    </row>
    <row r="17" spans="1:42" x14ac:dyDescent="0.35">
      <c r="A17" s="1">
        <v>16</v>
      </c>
      <c r="B17" s="47" t="s">
        <v>34</v>
      </c>
      <c r="C17" s="47">
        <v>1</v>
      </c>
      <c r="D17" s="47">
        <v>2</v>
      </c>
      <c r="E17" s="48">
        <v>85</v>
      </c>
      <c r="F17" s="48">
        <v>35</v>
      </c>
      <c r="G17" s="48">
        <v>67.650000000000006</v>
      </c>
      <c r="H17" s="48">
        <v>26.47</v>
      </c>
      <c r="I17" s="48">
        <v>64.709999999999994</v>
      </c>
      <c r="J17" s="48">
        <v>100</v>
      </c>
      <c r="K17" s="48">
        <v>2533.4</v>
      </c>
      <c r="L17" s="48">
        <v>55.3</v>
      </c>
      <c r="M17" s="48">
        <v>12</v>
      </c>
      <c r="N17" s="48">
        <v>220</v>
      </c>
      <c r="O17" s="48">
        <v>32.35</v>
      </c>
      <c r="P17" s="48">
        <v>3.0094043887147337</v>
      </c>
      <c r="Q17" s="48">
        <v>20.695652173913043</v>
      </c>
      <c r="R17" s="49">
        <v>55.3</v>
      </c>
      <c r="S17" s="50">
        <v>2.4</v>
      </c>
      <c r="T17" s="50">
        <v>94</v>
      </c>
      <c r="U17" s="50">
        <v>57</v>
      </c>
      <c r="V17" s="50">
        <v>32</v>
      </c>
      <c r="W17" s="50">
        <v>30</v>
      </c>
      <c r="X17" s="47"/>
      <c r="Y17" s="47"/>
      <c r="Z17" s="47"/>
      <c r="AA17" s="50">
        <v>342</v>
      </c>
      <c r="AB17" s="145"/>
      <c r="AC17" s="155"/>
      <c r="AD17" s="150">
        <v>390</v>
      </c>
      <c r="AE17" s="49"/>
      <c r="AF17" s="145">
        <v>379.4</v>
      </c>
      <c r="AG17" s="51"/>
    </row>
    <row r="18" spans="1:42" x14ac:dyDescent="0.35">
      <c r="A18" s="1">
        <v>17</v>
      </c>
      <c r="B18" s="47" t="s">
        <v>34</v>
      </c>
      <c r="C18" s="47">
        <v>1</v>
      </c>
      <c r="D18" s="47">
        <v>2</v>
      </c>
      <c r="E18" s="48">
        <v>92.86</v>
      </c>
      <c r="F18" s="48">
        <v>37.72</v>
      </c>
      <c r="G18" s="48">
        <v>74.36</v>
      </c>
      <c r="H18" s="48">
        <v>43.59</v>
      </c>
      <c r="I18" s="48">
        <v>56.41</v>
      </c>
      <c r="J18" s="48">
        <v>97.44</v>
      </c>
      <c r="K18" s="48">
        <v>3105</v>
      </c>
      <c r="L18" s="48">
        <v>61.9</v>
      </c>
      <c r="M18" s="48">
        <v>6</v>
      </c>
      <c r="N18" s="48">
        <v>376</v>
      </c>
      <c r="O18" s="48">
        <v>64.099999999999994</v>
      </c>
      <c r="P18" s="48">
        <v>3.6677115987460818</v>
      </c>
      <c r="Q18" s="48">
        <v>22.826086956521742</v>
      </c>
      <c r="R18" s="49">
        <v>61.9</v>
      </c>
      <c r="S18" s="50">
        <v>2.5</v>
      </c>
      <c r="T18" s="50">
        <v>91</v>
      </c>
      <c r="U18" s="50">
        <v>68</v>
      </c>
      <c r="V18" s="50">
        <v>30</v>
      </c>
      <c r="W18" s="50">
        <v>30</v>
      </c>
      <c r="X18" s="47"/>
      <c r="Y18" s="47"/>
      <c r="Z18" s="47"/>
      <c r="AA18" s="50">
        <v>248</v>
      </c>
      <c r="AB18" s="145"/>
      <c r="AC18" s="155"/>
      <c r="AD18" s="150">
        <v>390</v>
      </c>
      <c r="AE18" s="49"/>
      <c r="AF18" s="145">
        <v>938.5</v>
      </c>
      <c r="AG18" s="51"/>
    </row>
    <row r="19" spans="1:42" ht="15" thickBot="1" x14ac:dyDescent="0.4">
      <c r="A19" s="1">
        <v>18</v>
      </c>
      <c r="B19" s="52" t="s">
        <v>34</v>
      </c>
      <c r="C19" s="52">
        <v>1</v>
      </c>
      <c r="D19" s="52">
        <v>2</v>
      </c>
      <c r="E19" s="53">
        <v>92.31</v>
      </c>
      <c r="F19" s="53">
        <v>48.67</v>
      </c>
      <c r="G19" s="53">
        <v>80.56</v>
      </c>
      <c r="H19" s="53">
        <v>38.89</v>
      </c>
      <c r="I19" s="53">
        <v>72.22</v>
      </c>
      <c r="J19" s="53">
        <v>100</v>
      </c>
      <c r="K19" s="53">
        <v>4086</v>
      </c>
      <c r="L19" s="53">
        <v>92.9</v>
      </c>
      <c r="M19" s="53">
        <v>8</v>
      </c>
      <c r="N19" s="53">
        <v>596</v>
      </c>
      <c r="O19" s="53">
        <v>75</v>
      </c>
      <c r="P19" s="53">
        <v>4.5454545454545459</v>
      </c>
      <c r="Q19" s="53">
        <v>20.913043478260871</v>
      </c>
      <c r="R19" s="54">
        <v>92.9</v>
      </c>
      <c r="S19" s="55">
        <v>2.2999999999999998</v>
      </c>
      <c r="T19" s="55">
        <v>91</v>
      </c>
      <c r="U19" s="55">
        <v>30</v>
      </c>
      <c r="V19" s="55">
        <v>25</v>
      </c>
      <c r="W19" s="55">
        <v>40</v>
      </c>
      <c r="X19" s="52"/>
      <c r="Y19" s="52"/>
      <c r="Z19" s="52"/>
      <c r="AA19" s="55">
        <v>306</v>
      </c>
      <c r="AB19" s="146"/>
      <c r="AC19" s="156"/>
      <c r="AD19" s="151">
        <v>310</v>
      </c>
      <c r="AE19" s="54"/>
      <c r="AF19" s="146">
        <v>649</v>
      </c>
      <c r="AG19" s="56"/>
    </row>
    <row r="20" spans="1:42" x14ac:dyDescent="0.35">
      <c r="A20" s="1">
        <v>19</v>
      </c>
      <c r="B20" s="57" t="s">
        <v>12</v>
      </c>
      <c r="C20" s="58">
        <v>0</v>
      </c>
      <c r="D20" s="58">
        <v>0</v>
      </c>
      <c r="E20" s="58">
        <v>0</v>
      </c>
      <c r="F20" s="58">
        <v>0</v>
      </c>
      <c r="G20" s="58"/>
      <c r="H20" s="58"/>
      <c r="I20" s="58"/>
      <c r="J20" s="58"/>
      <c r="K20" s="58"/>
      <c r="L20" s="58"/>
      <c r="M20" s="58"/>
      <c r="N20" s="58"/>
      <c r="O20" s="58"/>
      <c r="P20" s="59">
        <v>47.480620199999997</v>
      </c>
      <c r="Q20" s="60">
        <v>37.5</v>
      </c>
      <c r="R20" s="61">
        <v>0</v>
      </c>
      <c r="S20" s="58"/>
      <c r="T20" s="58"/>
      <c r="U20" s="58"/>
      <c r="V20" s="58"/>
      <c r="W20" s="58"/>
      <c r="X20" s="59">
        <v>0.44742728999999998</v>
      </c>
      <c r="Y20" s="59">
        <v>0.41163311000000002</v>
      </c>
      <c r="Z20" s="59">
        <v>0.92</v>
      </c>
      <c r="AA20" s="62">
        <v>44.7</v>
      </c>
      <c r="AB20" s="62">
        <v>18.399999999999999</v>
      </c>
      <c r="AC20" s="141">
        <v>20</v>
      </c>
      <c r="AD20" s="62">
        <v>662.5</v>
      </c>
      <c r="AE20" s="62">
        <v>599</v>
      </c>
      <c r="AF20" s="166"/>
      <c r="AG20" s="63">
        <v>100</v>
      </c>
      <c r="AH20" s="63">
        <v>5.5</v>
      </c>
      <c r="AI20" s="63">
        <v>1.1176999999999999</v>
      </c>
      <c r="AJ20" s="63">
        <v>134</v>
      </c>
      <c r="AK20" s="63">
        <f>66.01+0.26</f>
        <v>66.27000000000001</v>
      </c>
      <c r="AL20" s="63">
        <v>12.5967</v>
      </c>
      <c r="AM20" s="63">
        <v>1565.5</v>
      </c>
      <c r="AN20" s="63">
        <v>283.64</v>
      </c>
      <c r="AO20" s="63">
        <f>AB20/AH20</f>
        <v>3.3454545454545452</v>
      </c>
      <c r="AP20" s="63">
        <f>AI20+AL20</f>
        <v>13.714399999999999</v>
      </c>
    </row>
    <row r="21" spans="1:42" x14ac:dyDescent="0.35">
      <c r="A21" s="1">
        <v>20</v>
      </c>
      <c r="B21" s="64" t="s">
        <v>12</v>
      </c>
      <c r="C21" s="65">
        <v>0</v>
      </c>
      <c r="D21" s="65">
        <v>0</v>
      </c>
      <c r="E21" s="65">
        <v>0</v>
      </c>
      <c r="F21" s="65">
        <v>0</v>
      </c>
      <c r="G21" s="65"/>
      <c r="H21" s="65"/>
      <c r="I21" s="65"/>
      <c r="J21" s="65"/>
      <c r="K21" s="65"/>
      <c r="L21" s="65"/>
      <c r="M21" s="65"/>
      <c r="N21" s="65"/>
      <c r="O21" s="65"/>
      <c r="P21" s="66">
        <v>49.418604700000003</v>
      </c>
      <c r="Q21" s="67">
        <v>48.863636399999997</v>
      </c>
      <c r="R21" s="68">
        <v>0</v>
      </c>
      <c r="S21" s="65"/>
      <c r="T21" s="65"/>
      <c r="U21" s="65"/>
      <c r="V21" s="65"/>
      <c r="W21" s="65"/>
      <c r="X21" s="66">
        <v>0.25917927000000002</v>
      </c>
      <c r="Y21" s="66">
        <v>0.38660907</v>
      </c>
      <c r="Z21" s="66">
        <v>1.4916666700000001</v>
      </c>
      <c r="AA21" s="69">
        <v>46.3</v>
      </c>
      <c r="AB21" s="69">
        <v>17.899999999999999</v>
      </c>
      <c r="AC21" s="70">
        <v>12</v>
      </c>
      <c r="AD21" s="69">
        <v>632</v>
      </c>
      <c r="AE21" s="69">
        <v>104</v>
      </c>
      <c r="AF21" s="67"/>
      <c r="AG21" s="71">
        <v>110</v>
      </c>
      <c r="AH21" s="71">
        <v>3.84</v>
      </c>
      <c r="AI21" s="71">
        <v>1.0099</v>
      </c>
      <c r="AJ21" s="71">
        <v>137</v>
      </c>
      <c r="AK21" s="71">
        <v>63.34</v>
      </c>
      <c r="AL21" s="71">
        <v>12.082800000000001</v>
      </c>
      <c r="AM21" s="71">
        <v>1970</v>
      </c>
      <c r="AN21" s="71">
        <v>512.02</v>
      </c>
      <c r="AO21" s="71">
        <f t="shared" ref="AO21:AO42" si="0">AB21/AH21</f>
        <v>4.661458333333333</v>
      </c>
      <c r="AP21" s="71">
        <f t="shared" ref="AP21:AP43" si="1">AI21+AL21</f>
        <v>13.092700000000001</v>
      </c>
    </row>
    <row r="22" spans="1:42" x14ac:dyDescent="0.35">
      <c r="A22" s="1">
        <v>21</v>
      </c>
      <c r="B22" s="64" t="s">
        <v>12</v>
      </c>
      <c r="C22" s="65">
        <v>0</v>
      </c>
      <c r="D22" s="65">
        <v>0</v>
      </c>
      <c r="E22" s="65">
        <v>0</v>
      </c>
      <c r="F22" s="65">
        <v>0</v>
      </c>
      <c r="G22" s="65"/>
      <c r="H22" s="65"/>
      <c r="I22" s="65"/>
      <c r="J22" s="65"/>
      <c r="K22" s="65"/>
      <c r="L22" s="65"/>
      <c r="M22" s="65"/>
      <c r="N22" s="65"/>
      <c r="O22" s="65"/>
      <c r="P22" s="66">
        <v>57.170542699999999</v>
      </c>
      <c r="Q22" s="67">
        <v>20.454545499999998</v>
      </c>
      <c r="R22" s="68">
        <v>0</v>
      </c>
      <c r="S22" s="65"/>
      <c r="T22" s="65"/>
      <c r="U22" s="65"/>
      <c r="V22" s="65"/>
      <c r="W22" s="65"/>
      <c r="X22" s="66">
        <v>0.28021015999999999</v>
      </c>
      <c r="Y22" s="66">
        <v>0.88791593999999996</v>
      </c>
      <c r="Z22" s="66">
        <v>3.1687500000000002</v>
      </c>
      <c r="AA22" s="69">
        <v>57.1</v>
      </c>
      <c r="AB22" s="69">
        <v>50.7</v>
      </c>
      <c r="AC22" s="70">
        <v>16</v>
      </c>
      <c r="AD22" s="69">
        <v>693</v>
      </c>
      <c r="AE22" s="69">
        <v>804</v>
      </c>
      <c r="AF22" s="67"/>
      <c r="AG22" s="71">
        <v>191</v>
      </c>
      <c r="AH22" s="71">
        <v>4.18</v>
      </c>
      <c r="AI22" s="71">
        <v>0.87560000000000004</v>
      </c>
      <c r="AJ22" s="71">
        <v>135</v>
      </c>
      <c r="AK22" s="71">
        <f>60.98+0.62</f>
        <v>61.599999999999994</v>
      </c>
      <c r="AL22" s="71">
        <v>9.5932999999999993</v>
      </c>
      <c r="AM22" s="71">
        <v>976.6</v>
      </c>
      <c r="AN22" s="71">
        <v>232.64</v>
      </c>
      <c r="AO22" s="71">
        <f t="shared" si="0"/>
        <v>12.129186602870815</v>
      </c>
      <c r="AP22" s="71">
        <f t="shared" si="1"/>
        <v>10.4689</v>
      </c>
    </row>
    <row r="23" spans="1:42" x14ac:dyDescent="0.35">
      <c r="A23" s="1">
        <v>22</v>
      </c>
      <c r="B23" s="64" t="s">
        <v>12</v>
      </c>
      <c r="C23" s="65">
        <v>0</v>
      </c>
      <c r="D23" s="65">
        <v>0</v>
      </c>
      <c r="E23" s="65">
        <v>0</v>
      </c>
      <c r="F23" s="65">
        <v>0</v>
      </c>
      <c r="G23" s="65"/>
      <c r="H23" s="65"/>
      <c r="I23" s="65"/>
      <c r="J23" s="65"/>
      <c r="K23" s="65"/>
      <c r="L23" s="65"/>
      <c r="M23" s="65"/>
      <c r="N23" s="65"/>
      <c r="O23" s="65"/>
      <c r="P23" s="66">
        <v>67.829457399999995</v>
      </c>
      <c r="Q23" s="67">
        <v>37.5</v>
      </c>
      <c r="R23" s="68">
        <v>0</v>
      </c>
      <c r="S23" s="65"/>
      <c r="T23" s="65"/>
      <c r="U23" s="65"/>
      <c r="V23" s="65"/>
      <c r="W23" s="65"/>
      <c r="X23" s="66">
        <v>0.24640656999999999</v>
      </c>
      <c r="Y23" s="66"/>
      <c r="Z23" s="66"/>
      <c r="AA23" s="69">
        <v>48.7</v>
      </c>
      <c r="AB23" s="72"/>
      <c r="AC23" s="70">
        <v>12</v>
      </c>
      <c r="AD23" s="69">
        <v>697.4</v>
      </c>
      <c r="AE23" s="72"/>
      <c r="AF23" s="167"/>
      <c r="AG23" s="71">
        <v>566</v>
      </c>
      <c r="AH23" s="71">
        <v>4.7</v>
      </c>
      <c r="AI23" s="71">
        <v>0.9617</v>
      </c>
      <c r="AJ23" s="71">
        <v>117</v>
      </c>
      <c r="AK23" s="71">
        <v>56.13</v>
      </c>
      <c r="AL23" s="71">
        <v>10.324999999999999</v>
      </c>
      <c r="AM23" s="71">
        <v>1405.3</v>
      </c>
      <c r="AN23" s="71">
        <v>298</v>
      </c>
      <c r="AO23" s="71"/>
      <c r="AP23" s="71">
        <f t="shared" si="1"/>
        <v>11.2867</v>
      </c>
    </row>
    <row r="24" spans="1:42" x14ac:dyDescent="0.35">
      <c r="A24" s="1">
        <v>23</v>
      </c>
      <c r="B24" s="73" t="s">
        <v>12</v>
      </c>
      <c r="C24" s="74">
        <v>0</v>
      </c>
      <c r="D24" s="74">
        <v>1</v>
      </c>
      <c r="E24" s="74">
        <v>0</v>
      </c>
      <c r="F24" s="74">
        <v>0</v>
      </c>
      <c r="G24" s="74"/>
      <c r="H24" s="74"/>
      <c r="I24" s="74"/>
      <c r="J24" s="74"/>
      <c r="K24" s="74"/>
      <c r="L24" s="74"/>
      <c r="M24" s="74"/>
      <c r="N24" s="74"/>
      <c r="O24" s="74"/>
      <c r="P24" s="75">
        <v>59.59</v>
      </c>
      <c r="Q24" s="76">
        <v>42.045454599999999</v>
      </c>
      <c r="R24" s="77">
        <v>0</v>
      </c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168"/>
      <c r="AG24" s="78"/>
      <c r="AH24" s="78">
        <v>6.1</v>
      </c>
      <c r="AI24" s="78">
        <v>0.83899999999999997</v>
      </c>
      <c r="AJ24" s="78">
        <v>121</v>
      </c>
      <c r="AK24" s="78">
        <f>46.77+0.83</f>
        <v>47.6</v>
      </c>
      <c r="AL24" s="78">
        <v>9.7091999999999992</v>
      </c>
      <c r="AM24" s="78">
        <v>1347.49</v>
      </c>
      <c r="AN24" s="78">
        <v>219.9</v>
      </c>
      <c r="AO24" s="78"/>
      <c r="AP24" s="78">
        <f t="shared" si="1"/>
        <v>10.5482</v>
      </c>
    </row>
    <row r="25" spans="1:42" x14ac:dyDescent="0.35">
      <c r="A25" s="1">
        <v>24</v>
      </c>
      <c r="B25" s="73" t="s">
        <v>12</v>
      </c>
      <c r="C25" s="74">
        <v>0</v>
      </c>
      <c r="D25" s="74">
        <v>1</v>
      </c>
      <c r="E25" s="74">
        <v>0</v>
      </c>
      <c r="F25" s="74">
        <v>0</v>
      </c>
      <c r="G25" s="74"/>
      <c r="H25" s="74"/>
      <c r="I25" s="74"/>
      <c r="J25" s="74"/>
      <c r="K25" s="74"/>
      <c r="L25" s="74"/>
      <c r="M25" s="74"/>
      <c r="N25" s="74"/>
      <c r="O25" s="74"/>
      <c r="P25" s="75">
        <v>61.53</v>
      </c>
      <c r="Q25" s="79">
        <v>51.136363699999997</v>
      </c>
      <c r="R25" s="77">
        <v>0</v>
      </c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168"/>
      <c r="AG25" s="78"/>
      <c r="AH25" s="78">
        <v>2.7</v>
      </c>
      <c r="AI25" s="78">
        <v>0.55459999999999998</v>
      </c>
      <c r="AJ25" s="78">
        <v>158</v>
      </c>
      <c r="AK25" s="78">
        <v>69.430000000000007</v>
      </c>
      <c r="AL25" s="78">
        <v>12.512700000000001</v>
      </c>
      <c r="AM25" s="78">
        <v>1340.09</v>
      </c>
      <c r="AN25" s="78">
        <v>495.33</v>
      </c>
      <c r="AO25" s="78"/>
      <c r="AP25" s="78">
        <f t="shared" si="1"/>
        <v>13.067300000000001</v>
      </c>
    </row>
    <row r="26" spans="1:42" x14ac:dyDescent="0.35">
      <c r="A26" s="1">
        <v>25</v>
      </c>
      <c r="B26" s="73" t="s">
        <v>12</v>
      </c>
      <c r="C26" s="74">
        <v>0</v>
      </c>
      <c r="D26" s="74">
        <v>1</v>
      </c>
      <c r="E26" s="74">
        <v>0</v>
      </c>
      <c r="F26" s="74">
        <v>0</v>
      </c>
      <c r="G26" s="74"/>
      <c r="H26" s="74"/>
      <c r="I26" s="74"/>
      <c r="J26" s="74"/>
      <c r="K26" s="74"/>
      <c r="L26" s="74"/>
      <c r="M26" s="74"/>
      <c r="N26" s="74"/>
      <c r="O26" s="74"/>
      <c r="P26" s="75">
        <v>35.369999999999997</v>
      </c>
      <c r="Q26" s="79">
        <v>40.340909099999998</v>
      </c>
      <c r="R26" s="77">
        <v>0</v>
      </c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168"/>
      <c r="AG26" s="78"/>
      <c r="AH26" s="78">
        <v>1.64</v>
      </c>
      <c r="AI26" s="78">
        <v>0.4622</v>
      </c>
      <c r="AJ26" s="78">
        <v>120</v>
      </c>
      <c r="AK26" s="78">
        <v>45.52</v>
      </c>
      <c r="AL26" s="78">
        <v>7.8204000000000002</v>
      </c>
      <c r="AM26" s="78">
        <v>1229.77</v>
      </c>
      <c r="AN26" s="78">
        <v>748.86</v>
      </c>
      <c r="AO26" s="78"/>
      <c r="AP26" s="78">
        <f t="shared" si="1"/>
        <v>8.2826000000000004</v>
      </c>
    </row>
    <row r="27" spans="1:42" x14ac:dyDescent="0.35">
      <c r="A27" s="1">
        <v>26</v>
      </c>
      <c r="B27" s="73" t="s">
        <v>12</v>
      </c>
      <c r="C27" s="74">
        <v>0</v>
      </c>
      <c r="D27" s="74">
        <v>1</v>
      </c>
      <c r="E27" s="74">
        <v>0</v>
      </c>
      <c r="F27" s="74">
        <v>0</v>
      </c>
      <c r="G27" s="74"/>
      <c r="H27" s="74"/>
      <c r="I27" s="74"/>
      <c r="J27" s="74"/>
      <c r="K27" s="74"/>
      <c r="L27" s="74"/>
      <c r="M27" s="74"/>
      <c r="N27" s="74"/>
      <c r="O27" s="74"/>
      <c r="P27" s="75">
        <v>38.76</v>
      </c>
      <c r="Q27" s="79">
        <v>40.340909099999998</v>
      </c>
      <c r="R27" s="77">
        <v>0</v>
      </c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168"/>
      <c r="AG27" s="78"/>
      <c r="AH27" s="78">
        <v>3.3</v>
      </c>
      <c r="AI27" s="78">
        <v>0.39300000000000002</v>
      </c>
      <c r="AJ27" s="78">
        <v>69</v>
      </c>
      <c r="AK27" s="78">
        <v>43.58</v>
      </c>
      <c r="AL27" s="78">
        <v>5.5315000000000003</v>
      </c>
      <c r="AM27" s="78">
        <v>1411.55</v>
      </c>
      <c r="AN27" s="78">
        <v>426.74</v>
      </c>
      <c r="AO27" s="78"/>
      <c r="AP27" s="78">
        <f t="shared" si="1"/>
        <v>5.9245000000000001</v>
      </c>
    </row>
    <row r="28" spans="1:42" x14ac:dyDescent="0.35">
      <c r="A28" s="1">
        <v>27</v>
      </c>
      <c r="B28" s="80" t="s">
        <v>12</v>
      </c>
      <c r="C28" s="81">
        <v>0</v>
      </c>
      <c r="D28" s="81">
        <v>2</v>
      </c>
      <c r="E28" s="81">
        <v>0</v>
      </c>
      <c r="F28" s="81">
        <v>0</v>
      </c>
      <c r="G28" s="81"/>
      <c r="H28" s="81"/>
      <c r="I28" s="81"/>
      <c r="J28" s="81"/>
      <c r="K28" s="81"/>
      <c r="L28" s="81"/>
      <c r="M28" s="81"/>
      <c r="N28" s="81"/>
      <c r="O28" s="81"/>
      <c r="P28" s="82">
        <v>39.729999999999997</v>
      </c>
      <c r="Q28" s="83">
        <v>40.909090900000002</v>
      </c>
      <c r="R28" s="84">
        <v>0</v>
      </c>
      <c r="S28" s="81"/>
      <c r="T28" s="81"/>
      <c r="U28" s="81"/>
      <c r="V28" s="81"/>
      <c r="W28" s="81"/>
      <c r="X28" s="82">
        <v>7.6394190000000001E-2</v>
      </c>
      <c r="Y28" s="82">
        <v>0.23529412</v>
      </c>
      <c r="Z28" s="82">
        <v>3.08</v>
      </c>
      <c r="AA28" s="85">
        <v>130.9</v>
      </c>
      <c r="AB28" s="85">
        <v>30.8</v>
      </c>
      <c r="AC28" s="86">
        <v>10</v>
      </c>
      <c r="AD28" s="85">
        <v>636.4</v>
      </c>
      <c r="AE28" s="85">
        <v>759</v>
      </c>
      <c r="AF28" s="88"/>
      <c r="AG28" s="87">
        <v>808</v>
      </c>
      <c r="AH28" s="87">
        <v>2.2999999999999998</v>
      </c>
      <c r="AI28" s="87">
        <v>0.60680000000000001</v>
      </c>
      <c r="AJ28" s="87">
        <v>116</v>
      </c>
      <c r="AK28" s="87">
        <v>59.53</v>
      </c>
      <c r="AL28" s="87">
        <v>10.5433</v>
      </c>
      <c r="AM28" s="87">
        <v>1313.02</v>
      </c>
      <c r="AN28" s="87">
        <v>569.88</v>
      </c>
      <c r="AO28" s="87">
        <f t="shared" si="0"/>
        <v>13.391304347826088</v>
      </c>
      <c r="AP28" s="87">
        <f t="shared" si="1"/>
        <v>11.1501</v>
      </c>
    </row>
    <row r="29" spans="1:42" x14ac:dyDescent="0.35">
      <c r="A29" s="1">
        <v>28</v>
      </c>
      <c r="B29" s="80" t="s">
        <v>12</v>
      </c>
      <c r="C29" s="81">
        <v>0</v>
      </c>
      <c r="D29" s="81">
        <v>2</v>
      </c>
      <c r="E29" s="81">
        <v>0</v>
      </c>
      <c r="F29" s="81">
        <v>0</v>
      </c>
      <c r="G29" s="81"/>
      <c r="H29" s="81"/>
      <c r="I29" s="81"/>
      <c r="J29" s="81"/>
      <c r="K29" s="81"/>
      <c r="L29" s="81"/>
      <c r="M29" s="81"/>
      <c r="N29" s="81"/>
      <c r="O29" s="81"/>
      <c r="P29" s="82">
        <v>30.04</v>
      </c>
      <c r="Q29" s="88">
        <v>33.5227273</v>
      </c>
      <c r="R29" s="84">
        <v>0</v>
      </c>
      <c r="S29" s="81"/>
      <c r="T29" s="81"/>
      <c r="U29" s="81"/>
      <c r="V29" s="81"/>
      <c r="W29" s="81"/>
      <c r="X29" s="82">
        <v>0.17080745</v>
      </c>
      <c r="Y29" s="82">
        <v>0.60248447000000005</v>
      </c>
      <c r="Z29" s="82">
        <v>3.52727273</v>
      </c>
      <c r="AA29" s="85">
        <v>64.400000000000006</v>
      </c>
      <c r="AB29" s="85">
        <v>38.799999999999997</v>
      </c>
      <c r="AC29" s="86">
        <v>11</v>
      </c>
      <c r="AD29" s="85">
        <v>658.2</v>
      </c>
      <c r="AE29" s="85">
        <v>660</v>
      </c>
      <c r="AF29" s="88"/>
      <c r="AG29" s="87">
        <v>668</v>
      </c>
      <c r="AH29" s="87">
        <v>3.97</v>
      </c>
      <c r="AI29" s="87">
        <v>1.089</v>
      </c>
      <c r="AJ29" s="87">
        <v>142</v>
      </c>
      <c r="AK29" s="87">
        <v>60.27</v>
      </c>
      <c r="AL29" s="87">
        <v>13.506399999999999</v>
      </c>
      <c r="AM29" s="87">
        <v>1361.88</v>
      </c>
      <c r="AN29" s="87">
        <v>342.04</v>
      </c>
      <c r="AO29" s="87">
        <f t="shared" si="0"/>
        <v>9.7732997481108299</v>
      </c>
      <c r="AP29" s="87">
        <f t="shared" si="1"/>
        <v>14.5954</v>
      </c>
    </row>
    <row r="30" spans="1:42" x14ac:dyDescent="0.35">
      <c r="A30" s="1">
        <v>29</v>
      </c>
      <c r="B30" s="80" t="s">
        <v>12</v>
      </c>
      <c r="C30" s="81">
        <v>0</v>
      </c>
      <c r="D30" s="81">
        <v>2</v>
      </c>
      <c r="E30" s="81">
        <v>0</v>
      </c>
      <c r="F30" s="81">
        <v>0</v>
      </c>
      <c r="G30" s="81"/>
      <c r="H30" s="81"/>
      <c r="I30" s="81"/>
      <c r="J30" s="81"/>
      <c r="K30" s="81"/>
      <c r="L30" s="81"/>
      <c r="M30" s="81"/>
      <c r="N30" s="81"/>
      <c r="O30" s="81"/>
      <c r="P30" s="82">
        <v>46.03</v>
      </c>
      <c r="Q30" s="88">
        <v>39.7727273</v>
      </c>
      <c r="R30" s="84">
        <v>0</v>
      </c>
      <c r="S30" s="81"/>
      <c r="T30" s="81"/>
      <c r="U30" s="81"/>
      <c r="V30" s="81"/>
      <c r="W30" s="81"/>
      <c r="X30" s="82">
        <v>0.12936611000000001</v>
      </c>
      <c r="Y30" s="82">
        <v>0.23027167000000001</v>
      </c>
      <c r="Z30" s="82">
        <v>1.78</v>
      </c>
      <c r="AA30" s="85">
        <v>77.3</v>
      </c>
      <c r="AB30" s="85">
        <v>17.8</v>
      </c>
      <c r="AC30" s="86">
        <v>10</v>
      </c>
      <c r="AD30" s="85">
        <v>640.70000000000005</v>
      </c>
      <c r="AE30" s="85">
        <v>665</v>
      </c>
      <c r="AF30" s="88"/>
      <c r="AG30" s="87">
        <v>920</v>
      </c>
      <c r="AH30" s="87">
        <v>6.33</v>
      </c>
      <c r="AI30" s="87">
        <v>1.0049999999999999</v>
      </c>
      <c r="AJ30" s="87">
        <v>85</v>
      </c>
      <c r="AK30" s="87">
        <v>39.89</v>
      </c>
      <c r="AL30" s="87">
        <v>11.229100000000001</v>
      </c>
      <c r="AM30" s="87">
        <v>1263.72</v>
      </c>
      <c r="AN30" s="87">
        <v>198.64</v>
      </c>
      <c r="AO30" s="87">
        <f t="shared" si="0"/>
        <v>2.8120063191153237</v>
      </c>
      <c r="AP30" s="87">
        <f t="shared" si="1"/>
        <v>12.234100000000002</v>
      </c>
    </row>
    <row r="31" spans="1:42" ht="15" thickBot="1" x14ac:dyDescent="0.4">
      <c r="A31" s="1">
        <v>30</v>
      </c>
      <c r="B31" s="89" t="s">
        <v>12</v>
      </c>
      <c r="C31" s="90">
        <v>0</v>
      </c>
      <c r="D31" s="90">
        <v>2</v>
      </c>
      <c r="E31" s="90">
        <v>0</v>
      </c>
      <c r="F31" s="90">
        <v>0</v>
      </c>
      <c r="G31" s="90"/>
      <c r="H31" s="90"/>
      <c r="I31" s="90"/>
      <c r="J31" s="90"/>
      <c r="K31" s="90"/>
      <c r="L31" s="90"/>
      <c r="M31" s="90"/>
      <c r="N31" s="90"/>
      <c r="O31" s="90"/>
      <c r="P31" s="91">
        <v>64.44</v>
      </c>
      <c r="Q31" s="92">
        <v>39.7727273</v>
      </c>
      <c r="R31" s="93">
        <v>0</v>
      </c>
      <c r="S31" s="90"/>
      <c r="T31" s="90"/>
      <c r="U31" s="90"/>
      <c r="V31" s="90"/>
      <c r="W31" s="90"/>
      <c r="X31" s="91">
        <v>0.38626609000000001</v>
      </c>
      <c r="Y31" s="91">
        <v>0.75321888000000004</v>
      </c>
      <c r="Z31" s="91">
        <v>1.95</v>
      </c>
      <c r="AA31" s="94">
        <v>46.6</v>
      </c>
      <c r="AB31" s="94">
        <v>35.1</v>
      </c>
      <c r="AC31" s="95">
        <v>18</v>
      </c>
      <c r="AD31" s="94">
        <v>723.5</v>
      </c>
      <c r="AE31" s="94">
        <v>131</v>
      </c>
      <c r="AF31" s="92"/>
      <c r="AG31" s="96">
        <v>130</v>
      </c>
      <c r="AH31" s="96">
        <v>3.41</v>
      </c>
      <c r="AI31" s="96">
        <v>0.50919999999999999</v>
      </c>
      <c r="AJ31" s="96">
        <v>71</v>
      </c>
      <c r="AK31" s="96">
        <v>53.12</v>
      </c>
      <c r="AL31" s="96">
        <v>6.9410999999999996</v>
      </c>
      <c r="AM31" s="96">
        <v>1253.58</v>
      </c>
      <c r="AN31" s="96">
        <v>366.62</v>
      </c>
      <c r="AO31" s="96">
        <f t="shared" si="0"/>
        <v>10.293255131964809</v>
      </c>
      <c r="AP31" s="96">
        <f t="shared" si="1"/>
        <v>7.4502999999999995</v>
      </c>
    </row>
    <row r="32" spans="1:42" x14ac:dyDescent="0.35">
      <c r="A32" s="1">
        <v>31</v>
      </c>
      <c r="B32" s="97" t="s">
        <v>12</v>
      </c>
      <c r="C32" s="98">
        <v>1</v>
      </c>
      <c r="D32" s="98">
        <v>0</v>
      </c>
      <c r="E32" s="99">
        <v>75</v>
      </c>
      <c r="F32" s="99">
        <v>17.857142899999999</v>
      </c>
      <c r="G32" s="99"/>
      <c r="H32" s="99"/>
      <c r="I32" s="99"/>
      <c r="J32" s="99"/>
      <c r="K32" s="99"/>
      <c r="L32" s="99"/>
      <c r="M32" s="99"/>
      <c r="N32" s="99"/>
      <c r="O32" s="99"/>
      <c r="P32" s="99">
        <v>70.25</v>
      </c>
      <c r="Q32" s="100">
        <v>47.159090900000002</v>
      </c>
      <c r="R32" s="101">
        <v>67.27</v>
      </c>
      <c r="S32" s="98"/>
      <c r="T32" s="98"/>
      <c r="U32" s="98"/>
      <c r="V32" s="98"/>
      <c r="W32" s="98"/>
      <c r="X32" s="99">
        <v>0.31674207999999998</v>
      </c>
      <c r="Y32" s="99">
        <v>0.35746605999999997</v>
      </c>
      <c r="Z32" s="99">
        <v>1.12857143</v>
      </c>
      <c r="AA32" s="102">
        <v>44.2</v>
      </c>
      <c r="AB32" s="102">
        <v>15.8</v>
      </c>
      <c r="AC32" s="103">
        <v>14</v>
      </c>
      <c r="AD32" s="102">
        <v>636.4</v>
      </c>
      <c r="AE32" s="102">
        <v>883</v>
      </c>
      <c r="AF32" s="169"/>
      <c r="AG32" s="104">
        <v>150</v>
      </c>
      <c r="AH32" s="104">
        <v>2.38</v>
      </c>
      <c r="AI32" s="104">
        <v>0.74480000000000002</v>
      </c>
      <c r="AJ32" s="104">
        <v>145</v>
      </c>
      <c r="AK32" s="104">
        <v>55.63</v>
      </c>
      <c r="AL32" s="104">
        <v>11.422000000000001</v>
      </c>
      <c r="AM32" s="104">
        <v>1207.1500000000001</v>
      </c>
      <c r="AN32" s="104">
        <v>506.21</v>
      </c>
      <c r="AO32" s="104">
        <f t="shared" si="0"/>
        <v>6.6386554621848743</v>
      </c>
      <c r="AP32" s="104">
        <f t="shared" si="1"/>
        <v>12.1668</v>
      </c>
    </row>
    <row r="33" spans="1:42" x14ac:dyDescent="0.35">
      <c r="A33" s="1">
        <v>32</v>
      </c>
      <c r="B33" s="105" t="s">
        <v>12</v>
      </c>
      <c r="C33" s="106">
        <v>1</v>
      </c>
      <c r="D33" s="106">
        <v>0</v>
      </c>
      <c r="E33" s="107">
        <v>85.294117700000001</v>
      </c>
      <c r="F33" s="108">
        <v>29.411764699999999</v>
      </c>
      <c r="G33" s="108"/>
      <c r="H33" s="108"/>
      <c r="I33" s="108"/>
      <c r="J33" s="108"/>
      <c r="K33" s="108"/>
      <c r="L33" s="108"/>
      <c r="M33" s="108"/>
      <c r="N33" s="108"/>
      <c r="O33" s="108"/>
      <c r="P33" s="107">
        <v>83.82</v>
      </c>
      <c r="Q33" s="109">
        <v>35.2272727</v>
      </c>
      <c r="R33" s="110">
        <v>63.19</v>
      </c>
      <c r="S33" s="106"/>
      <c r="T33" s="106"/>
      <c r="U33" s="106"/>
      <c r="V33" s="106"/>
      <c r="W33" s="106"/>
      <c r="X33" s="107">
        <v>0.37383178</v>
      </c>
      <c r="Y33" s="107">
        <v>0.58177570000000001</v>
      </c>
      <c r="Z33" s="107">
        <v>1.5562499999999999</v>
      </c>
      <c r="AA33" s="108">
        <v>42.8</v>
      </c>
      <c r="AB33" s="108">
        <v>24.9</v>
      </c>
      <c r="AC33" s="111">
        <v>16</v>
      </c>
      <c r="AD33" s="108">
        <v>658.2</v>
      </c>
      <c r="AE33" s="108">
        <v>111</v>
      </c>
      <c r="AF33" s="109"/>
      <c r="AG33" s="112">
        <v>120</v>
      </c>
      <c r="AH33" s="112">
        <v>7.29</v>
      </c>
      <c r="AI33" s="112">
        <v>0.81930000000000003</v>
      </c>
      <c r="AJ33" s="112">
        <v>109</v>
      </c>
      <c r="AK33" s="112">
        <v>56.17</v>
      </c>
      <c r="AL33" s="112">
        <v>9.0335999999999999</v>
      </c>
      <c r="AM33" s="112">
        <v>1222.1400000000001</v>
      </c>
      <c r="AN33" s="112">
        <v>166.65</v>
      </c>
      <c r="AO33" s="112">
        <f t="shared" si="0"/>
        <v>3.4156378600823043</v>
      </c>
      <c r="AP33" s="112">
        <f t="shared" si="1"/>
        <v>9.8529</v>
      </c>
    </row>
    <row r="34" spans="1:42" x14ac:dyDescent="0.35">
      <c r="A34" s="1">
        <v>33</v>
      </c>
      <c r="B34" s="105" t="s">
        <v>12</v>
      </c>
      <c r="C34" s="106">
        <v>1</v>
      </c>
      <c r="D34" s="106">
        <v>0</v>
      </c>
      <c r="E34" s="107">
        <v>86.486486499999998</v>
      </c>
      <c r="F34" s="108">
        <v>24.864864900000001</v>
      </c>
      <c r="G34" s="108"/>
      <c r="H34" s="108"/>
      <c r="I34" s="108"/>
      <c r="J34" s="108"/>
      <c r="K34" s="108"/>
      <c r="L34" s="108"/>
      <c r="M34" s="108"/>
      <c r="N34" s="108"/>
      <c r="O34" s="108"/>
      <c r="P34" s="107" t="s">
        <v>13</v>
      </c>
      <c r="Q34" s="109">
        <v>48.863636399999997</v>
      </c>
      <c r="R34" s="110">
        <v>112.11</v>
      </c>
      <c r="S34" s="106"/>
      <c r="T34" s="106"/>
      <c r="U34" s="106"/>
      <c r="V34" s="106"/>
      <c r="W34" s="106"/>
      <c r="X34" s="107">
        <v>0.23076922999999999</v>
      </c>
      <c r="Y34" s="107">
        <v>0.26346153999999999</v>
      </c>
      <c r="Z34" s="107">
        <v>1.14166667</v>
      </c>
      <c r="AA34" s="108">
        <v>52</v>
      </c>
      <c r="AB34" s="108">
        <v>13.7</v>
      </c>
      <c r="AC34" s="111">
        <v>12</v>
      </c>
      <c r="AD34" s="108">
        <v>636.4</v>
      </c>
      <c r="AE34" s="108">
        <v>127</v>
      </c>
      <c r="AF34" s="109"/>
      <c r="AG34" s="112">
        <v>170</v>
      </c>
      <c r="AH34" s="112">
        <v>3.3</v>
      </c>
      <c r="AI34" s="112">
        <v>0.89429999999999998</v>
      </c>
      <c r="AJ34" s="112">
        <v>117</v>
      </c>
      <c r="AK34" s="112">
        <v>56.04</v>
      </c>
      <c r="AL34" s="112">
        <v>10.404500000000001</v>
      </c>
      <c r="AM34" s="112">
        <v>1093.95</v>
      </c>
      <c r="AN34" s="112">
        <v>330.5</v>
      </c>
      <c r="AO34" s="112">
        <f t="shared" si="0"/>
        <v>4.1515151515151514</v>
      </c>
      <c r="AP34" s="112">
        <f t="shared" si="1"/>
        <v>11.2988</v>
      </c>
    </row>
    <row r="35" spans="1:42" x14ac:dyDescent="0.35">
      <c r="A35" s="1">
        <v>34</v>
      </c>
      <c r="B35" s="105" t="s">
        <v>12</v>
      </c>
      <c r="C35" s="106">
        <v>1</v>
      </c>
      <c r="D35" s="106">
        <v>0</v>
      </c>
      <c r="E35" s="107">
        <v>72.413793100000007</v>
      </c>
      <c r="F35" s="108">
        <v>15.862068969999999</v>
      </c>
      <c r="G35" s="108"/>
      <c r="H35" s="108"/>
      <c r="I35" s="108"/>
      <c r="J35" s="108"/>
      <c r="K35" s="108"/>
      <c r="L35" s="108"/>
      <c r="M35" s="108"/>
      <c r="N35" s="108"/>
      <c r="O35" s="108"/>
      <c r="P35" s="107">
        <v>87.69</v>
      </c>
      <c r="Q35" s="109">
        <v>55.681818200000002</v>
      </c>
      <c r="R35" s="110">
        <v>78.48</v>
      </c>
      <c r="S35" s="106"/>
      <c r="T35" s="106"/>
      <c r="U35" s="106"/>
      <c r="V35" s="106"/>
      <c r="W35" s="106"/>
      <c r="X35" s="107"/>
      <c r="Y35" s="107">
        <v>0.25914397</v>
      </c>
      <c r="Z35" s="107"/>
      <c r="AA35" s="108">
        <v>128.5</v>
      </c>
      <c r="AB35" s="108">
        <v>33.299999999999997</v>
      </c>
      <c r="AC35" s="113"/>
      <c r="AD35" s="108">
        <v>610.20000000000005</v>
      </c>
      <c r="AE35" s="108">
        <v>105</v>
      </c>
      <c r="AF35" s="109"/>
      <c r="AG35" s="114"/>
      <c r="AH35" s="114">
        <v>4.22</v>
      </c>
      <c r="AI35" s="114">
        <v>0.54300000000000004</v>
      </c>
      <c r="AJ35" s="114">
        <v>76</v>
      </c>
      <c r="AK35" s="114">
        <v>40.119999999999997</v>
      </c>
      <c r="AL35" s="114">
        <v>6.6025</v>
      </c>
      <c r="AM35" s="114">
        <v>1343.07</v>
      </c>
      <c r="AN35" s="114">
        <v>317.26</v>
      </c>
      <c r="AO35" s="114">
        <f t="shared" si="0"/>
        <v>7.890995260663507</v>
      </c>
      <c r="AP35" s="114">
        <f t="shared" si="1"/>
        <v>7.1455000000000002</v>
      </c>
    </row>
    <row r="36" spans="1:42" x14ac:dyDescent="0.35">
      <c r="A36" s="1">
        <v>35</v>
      </c>
      <c r="B36" s="115" t="s">
        <v>12</v>
      </c>
      <c r="C36" s="116">
        <v>1</v>
      </c>
      <c r="D36" s="116">
        <v>1</v>
      </c>
      <c r="E36" s="117">
        <v>75</v>
      </c>
      <c r="F36" s="117">
        <v>11.071428600000001</v>
      </c>
      <c r="G36" s="117"/>
      <c r="H36" s="117"/>
      <c r="I36" s="117"/>
      <c r="J36" s="117"/>
      <c r="K36" s="117"/>
      <c r="L36" s="117"/>
      <c r="M36" s="117"/>
      <c r="N36" s="117"/>
      <c r="O36" s="117"/>
      <c r="P36" s="117">
        <v>108.042636</v>
      </c>
      <c r="Q36" s="118">
        <v>38.068181799999998</v>
      </c>
      <c r="R36" s="119">
        <v>58.09</v>
      </c>
      <c r="S36" s="116"/>
      <c r="T36" s="116"/>
      <c r="U36" s="116"/>
      <c r="V36" s="116"/>
      <c r="W36" s="116"/>
      <c r="X36" s="117"/>
      <c r="Y36" s="116"/>
      <c r="Z36" s="117"/>
      <c r="AA36" s="116"/>
      <c r="AB36" s="117"/>
      <c r="AC36" s="116"/>
      <c r="AD36" s="117"/>
      <c r="AE36" s="116"/>
      <c r="AF36" s="170"/>
      <c r="AG36" s="120"/>
      <c r="AH36" s="120">
        <v>8.61</v>
      </c>
      <c r="AI36" s="120">
        <v>1.0141</v>
      </c>
      <c r="AJ36" s="120">
        <v>128</v>
      </c>
      <c r="AK36" s="120">
        <v>69.31</v>
      </c>
      <c r="AL36" s="120">
        <v>11.479200000000001</v>
      </c>
      <c r="AM36" s="120">
        <v>1313.44</v>
      </c>
      <c r="AN36" s="120">
        <v>151.55000000000001</v>
      </c>
      <c r="AO36" s="120"/>
      <c r="AP36" s="120">
        <f t="shared" si="1"/>
        <v>12.493300000000001</v>
      </c>
    </row>
    <row r="37" spans="1:42" x14ac:dyDescent="0.35">
      <c r="A37" s="1">
        <v>36</v>
      </c>
      <c r="B37" s="115" t="s">
        <v>12</v>
      </c>
      <c r="C37" s="116">
        <v>1</v>
      </c>
      <c r="D37" s="116">
        <v>1</v>
      </c>
      <c r="E37" s="117">
        <v>97.142857100000001</v>
      </c>
      <c r="F37" s="121">
        <v>20.285714299999999</v>
      </c>
      <c r="G37" s="121"/>
      <c r="H37" s="121"/>
      <c r="I37" s="121"/>
      <c r="J37" s="121"/>
      <c r="K37" s="121"/>
      <c r="L37" s="121"/>
      <c r="M37" s="121"/>
      <c r="N37" s="121"/>
      <c r="O37" s="121"/>
      <c r="P37" s="117">
        <v>84.302325600000003</v>
      </c>
      <c r="Q37" s="122">
        <v>48.295454599999999</v>
      </c>
      <c r="R37" s="123">
        <v>100.9</v>
      </c>
      <c r="S37" s="116"/>
      <c r="T37" s="116"/>
      <c r="U37" s="116"/>
      <c r="V37" s="116"/>
      <c r="W37" s="116"/>
      <c r="X37" s="117"/>
      <c r="Y37" s="116"/>
      <c r="Z37" s="117"/>
      <c r="AA37" s="116"/>
      <c r="AB37" s="117"/>
      <c r="AC37" s="116"/>
      <c r="AD37" s="117"/>
      <c r="AE37" s="116"/>
      <c r="AF37" s="170"/>
      <c r="AG37" s="120"/>
      <c r="AH37" s="120">
        <v>6.73</v>
      </c>
      <c r="AI37" s="120">
        <v>0.90800000000000003</v>
      </c>
      <c r="AJ37" s="120">
        <v>112</v>
      </c>
      <c r="AK37" s="120">
        <v>58.19</v>
      </c>
      <c r="AL37" s="120">
        <v>9.5004000000000008</v>
      </c>
      <c r="AM37" s="120">
        <v>1371.83</v>
      </c>
      <c r="AN37" s="120">
        <v>202.84</v>
      </c>
      <c r="AO37" s="120"/>
      <c r="AP37" s="120">
        <f t="shared" si="1"/>
        <v>10.4084</v>
      </c>
    </row>
    <row r="38" spans="1:42" x14ac:dyDescent="0.35">
      <c r="A38" s="1">
        <v>37</v>
      </c>
      <c r="B38" s="115" t="s">
        <v>12</v>
      </c>
      <c r="C38" s="116">
        <v>1</v>
      </c>
      <c r="D38" s="116">
        <v>1</v>
      </c>
      <c r="E38" s="117">
        <v>90.476190500000001</v>
      </c>
      <c r="F38" s="121">
        <v>31.6666667</v>
      </c>
      <c r="G38" s="121"/>
      <c r="H38" s="121"/>
      <c r="I38" s="121"/>
      <c r="J38" s="121"/>
      <c r="K38" s="121"/>
      <c r="L38" s="121"/>
      <c r="M38" s="121"/>
      <c r="N38" s="121"/>
      <c r="O38" s="121"/>
      <c r="P38" s="117">
        <v>94.9612403</v>
      </c>
      <c r="Q38" s="122">
        <v>41.4772727</v>
      </c>
      <c r="R38" s="123">
        <v>83.57</v>
      </c>
      <c r="S38" s="116"/>
      <c r="T38" s="116"/>
      <c r="U38" s="116"/>
      <c r="V38" s="116"/>
      <c r="W38" s="116"/>
      <c r="X38" s="117"/>
      <c r="Y38" s="116"/>
      <c r="Z38" s="117"/>
      <c r="AA38" s="116"/>
      <c r="AB38" s="117"/>
      <c r="AC38" s="116"/>
      <c r="AD38" s="117"/>
      <c r="AE38" s="116"/>
      <c r="AF38" s="170"/>
      <c r="AG38" s="120"/>
      <c r="AH38" s="120">
        <v>2.4300000000000002</v>
      </c>
      <c r="AI38" s="120">
        <v>0.51919999999999999</v>
      </c>
      <c r="AJ38" s="120">
        <v>127</v>
      </c>
      <c r="AK38" s="120">
        <v>58.88</v>
      </c>
      <c r="AL38" s="120">
        <v>11.9574</v>
      </c>
      <c r="AM38" s="120">
        <v>1347.44</v>
      </c>
      <c r="AN38" s="120">
        <v>553.5</v>
      </c>
      <c r="AO38" s="120"/>
      <c r="AP38" s="120">
        <f t="shared" si="1"/>
        <v>12.476599999999999</v>
      </c>
    </row>
    <row r="39" spans="1:42" x14ac:dyDescent="0.35">
      <c r="A39" s="1">
        <v>38</v>
      </c>
      <c r="B39" s="115" t="s">
        <v>12</v>
      </c>
      <c r="C39" s="116">
        <v>1</v>
      </c>
      <c r="D39" s="116">
        <v>1</v>
      </c>
      <c r="E39" s="117">
        <v>48.387096769999999</v>
      </c>
      <c r="F39" s="117">
        <v>7.4193548390000004</v>
      </c>
      <c r="G39" s="117"/>
      <c r="H39" s="117"/>
      <c r="I39" s="117"/>
      <c r="J39" s="117"/>
      <c r="K39" s="117"/>
      <c r="L39" s="117"/>
      <c r="M39" s="117"/>
      <c r="N39" s="117"/>
      <c r="O39" s="117"/>
      <c r="P39" s="117">
        <v>83.333333400000001</v>
      </c>
      <c r="Q39" s="122">
        <v>51.704545500000002</v>
      </c>
      <c r="R39" s="123">
        <v>20.38</v>
      </c>
      <c r="S39" s="116"/>
      <c r="T39" s="116"/>
      <c r="U39" s="116"/>
      <c r="V39" s="116"/>
      <c r="W39" s="116"/>
      <c r="X39" s="117"/>
      <c r="Y39" s="116"/>
      <c r="Z39" s="117"/>
      <c r="AA39" s="116"/>
      <c r="AB39" s="117"/>
      <c r="AC39" s="116"/>
      <c r="AD39" s="117"/>
      <c r="AE39" s="116"/>
      <c r="AF39" s="170"/>
      <c r="AG39" s="120"/>
      <c r="AH39" s="120">
        <v>2.21</v>
      </c>
      <c r="AI39" s="120">
        <v>0.59340000000000004</v>
      </c>
      <c r="AJ39" s="120">
        <v>110</v>
      </c>
      <c r="AK39" s="120">
        <v>54.48</v>
      </c>
      <c r="AL39" s="120">
        <v>9.8055000000000003</v>
      </c>
      <c r="AM39" s="120">
        <v>1129.82</v>
      </c>
      <c r="AN39" s="120">
        <v>510.23</v>
      </c>
      <c r="AO39" s="120"/>
      <c r="AP39" s="120">
        <f t="shared" si="1"/>
        <v>10.398900000000001</v>
      </c>
    </row>
    <row r="40" spans="1:42" x14ac:dyDescent="0.35">
      <c r="A40" s="1">
        <v>39</v>
      </c>
      <c r="B40" s="124" t="s">
        <v>12</v>
      </c>
      <c r="C40" s="125">
        <v>1</v>
      </c>
      <c r="D40" s="125">
        <v>2</v>
      </c>
      <c r="E40" s="126">
        <v>78.787878800000001</v>
      </c>
      <c r="F40" s="126">
        <v>22.121212100000001</v>
      </c>
      <c r="G40" s="126"/>
      <c r="H40" s="126"/>
      <c r="I40" s="126"/>
      <c r="J40" s="126"/>
      <c r="K40" s="126"/>
      <c r="L40" s="126"/>
      <c r="M40" s="126"/>
      <c r="N40" s="126"/>
      <c r="O40" s="126"/>
      <c r="P40" s="126">
        <v>96.41</v>
      </c>
      <c r="Q40" s="127">
        <v>59.090909099999998</v>
      </c>
      <c r="R40" s="128">
        <v>55.04</v>
      </c>
      <c r="S40" s="125"/>
      <c r="T40" s="125"/>
      <c r="U40" s="125"/>
      <c r="V40" s="125"/>
      <c r="W40" s="125"/>
      <c r="X40" s="126">
        <v>0.19438444999999999</v>
      </c>
      <c r="Y40" s="126">
        <v>0.30237581000000002</v>
      </c>
      <c r="Z40" s="126">
        <v>1.5555555599999999</v>
      </c>
      <c r="AA40" s="129">
        <v>92.6</v>
      </c>
      <c r="AB40" s="129">
        <v>28</v>
      </c>
      <c r="AC40" s="130">
        <v>18</v>
      </c>
      <c r="AD40" s="129">
        <v>632</v>
      </c>
      <c r="AE40" s="129">
        <v>113</v>
      </c>
      <c r="AF40" s="132"/>
      <c r="AG40" s="131">
        <v>574</v>
      </c>
      <c r="AH40" s="131">
        <v>2.4</v>
      </c>
      <c r="AI40" s="131">
        <v>0.61670000000000003</v>
      </c>
      <c r="AJ40" s="131">
        <v>138</v>
      </c>
      <c r="AK40" s="131">
        <v>52.21</v>
      </c>
      <c r="AL40" s="131">
        <v>11.1843</v>
      </c>
      <c r="AM40" s="131">
        <v>1201.3</v>
      </c>
      <c r="AN40" s="131">
        <v>499.54</v>
      </c>
      <c r="AO40" s="131">
        <f t="shared" si="0"/>
        <v>11.666666666666668</v>
      </c>
      <c r="AP40" s="131">
        <f t="shared" si="1"/>
        <v>11.801</v>
      </c>
    </row>
    <row r="41" spans="1:42" x14ac:dyDescent="0.35">
      <c r="A41" s="1">
        <v>40</v>
      </c>
      <c r="B41" s="124" t="s">
        <v>12</v>
      </c>
      <c r="C41" s="125">
        <v>1</v>
      </c>
      <c r="D41" s="125">
        <v>2</v>
      </c>
      <c r="E41" s="126">
        <v>80.4878049</v>
      </c>
      <c r="F41" s="129">
        <v>22.926829300000001</v>
      </c>
      <c r="G41" s="129"/>
      <c r="H41" s="129"/>
      <c r="I41" s="129"/>
      <c r="J41" s="129"/>
      <c r="K41" s="129"/>
      <c r="L41" s="129"/>
      <c r="M41" s="129"/>
      <c r="N41" s="129"/>
      <c r="O41" s="129"/>
      <c r="P41" s="126">
        <v>97.87</v>
      </c>
      <c r="Q41" s="132">
        <v>58.5227273</v>
      </c>
      <c r="R41" s="133">
        <v>27.52</v>
      </c>
      <c r="S41" s="125"/>
      <c r="T41" s="125"/>
      <c r="U41" s="125"/>
      <c r="V41" s="125"/>
      <c r="W41" s="125"/>
      <c r="X41" s="126">
        <v>0.10805501000000001</v>
      </c>
      <c r="Y41" s="126">
        <v>0.18123771999999999</v>
      </c>
      <c r="Z41" s="126">
        <v>1.6772727300000001</v>
      </c>
      <c r="AA41" s="129">
        <v>203.6</v>
      </c>
      <c r="AB41" s="129">
        <v>36.9</v>
      </c>
      <c r="AC41" s="130">
        <v>22</v>
      </c>
      <c r="AD41" s="129">
        <v>662.5</v>
      </c>
      <c r="AE41" s="129">
        <v>993</v>
      </c>
      <c r="AF41" s="132"/>
      <c r="AG41" s="131">
        <v>817</v>
      </c>
      <c r="AH41" s="131">
        <v>2.12</v>
      </c>
      <c r="AI41" s="131">
        <v>0.60489999999999999</v>
      </c>
      <c r="AJ41" s="131">
        <v>134</v>
      </c>
      <c r="AK41" s="131">
        <v>63.87</v>
      </c>
      <c r="AL41" s="131">
        <v>12.145300000000001</v>
      </c>
      <c r="AM41" s="131">
        <v>1280.06</v>
      </c>
      <c r="AN41" s="131">
        <v>602.79999999999995</v>
      </c>
      <c r="AO41" s="131">
        <f t="shared" si="0"/>
        <v>17.40566037735849</v>
      </c>
      <c r="AP41" s="131">
        <f t="shared" si="1"/>
        <v>12.750200000000001</v>
      </c>
    </row>
    <row r="42" spans="1:42" x14ac:dyDescent="0.35">
      <c r="A42" s="1">
        <v>41</v>
      </c>
      <c r="B42" s="124" t="s">
        <v>12</v>
      </c>
      <c r="C42" s="125">
        <v>1</v>
      </c>
      <c r="D42" s="125">
        <v>2</v>
      </c>
      <c r="E42" s="126">
        <v>78.571428600000004</v>
      </c>
      <c r="F42" s="129">
        <v>17.428571399999999</v>
      </c>
      <c r="G42" s="129"/>
      <c r="H42" s="129"/>
      <c r="I42" s="129"/>
      <c r="J42" s="129"/>
      <c r="K42" s="129"/>
      <c r="L42" s="129"/>
      <c r="M42" s="129"/>
      <c r="N42" s="129"/>
      <c r="O42" s="129"/>
      <c r="P42" s="126">
        <v>77.52</v>
      </c>
      <c r="Q42" s="132">
        <v>43.181818200000002</v>
      </c>
      <c r="R42" s="133">
        <v>61.15</v>
      </c>
      <c r="S42" s="125"/>
      <c r="T42" s="125"/>
      <c r="U42" s="125"/>
      <c r="V42" s="125"/>
      <c r="W42" s="125"/>
      <c r="X42" s="126">
        <v>0.11928429</v>
      </c>
      <c r="Y42" s="126">
        <v>0.19615639000000001</v>
      </c>
      <c r="Z42" s="126">
        <v>1.64444444</v>
      </c>
      <c r="AA42" s="129">
        <v>150.9</v>
      </c>
      <c r="AB42" s="129">
        <v>29.6</v>
      </c>
      <c r="AC42" s="130">
        <v>18</v>
      </c>
      <c r="AD42" s="129">
        <v>658.2</v>
      </c>
      <c r="AE42" s="129">
        <v>110</v>
      </c>
      <c r="AF42" s="132"/>
      <c r="AG42" s="131">
        <v>751</v>
      </c>
      <c r="AH42" s="131">
        <v>2.8</v>
      </c>
      <c r="AI42" s="131">
        <v>0.76349999999999996</v>
      </c>
      <c r="AJ42" s="131">
        <v>129</v>
      </c>
      <c r="AK42" s="131">
        <v>62.27</v>
      </c>
      <c r="AL42" s="131">
        <v>11.507</v>
      </c>
      <c r="AM42" s="131">
        <v>1266.1500000000001</v>
      </c>
      <c r="AN42" s="131">
        <v>451.2</v>
      </c>
      <c r="AO42" s="131">
        <f t="shared" si="0"/>
        <v>10.571428571428573</v>
      </c>
      <c r="AP42" s="131">
        <f t="shared" si="1"/>
        <v>12.2705</v>
      </c>
    </row>
    <row r="43" spans="1:42" ht="15" thickBot="1" x14ac:dyDescent="0.4">
      <c r="A43" s="1">
        <v>42</v>
      </c>
      <c r="B43" s="134" t="s">
        <v>12</v>
      </c>
      <c r="C43" s="135">
        <v>1</v>
      </c>
      <c r="D43" s="135">
        <v>2</v>
      </c>
      <c r="E43" s="136">
        <v>68.571428569999995</v>
      </c>
      <c r="F43" s="136">
        <v>17.38095238</v>
      </c>
      <c r="G43" s="136"/>
      <c r="H43" s="136"/>
      <c r="I43" s="136"/>
      <c r="J43" s="136"/>
      <c r="K43" s="136"/>
      <c r="L43" s="136"/>
      <c r="M43" s="136"/>
      <c r="N43" s="136"/>
      <c r="O43" s="136"/>
      <c r="P43" s="136">
        <v>84.79</v>
      </c>
      <c r="Q43" s="137">
        <v>64.204545499999995</v>
      </c>
      <c r="R43" s="138">
        <v>60.13</v>
      </c>
      <c r="S43" s="135"/>
      <c r="T43" s="135"/>
      <c r="U43" s="135"/>
      <c r="V43" s="135"/>
      <c r="W43" s="135"/>
      <c r="X43" s="135"/>
      <c r="Y43" s="135"/>
      <c r="Z43" s="135"/>
      <c r="AA43" s="139"/>
      <c r="AB43" s="139"/>
      <c r="AC43" s="139"/>
      <c r="AD43" s="139"/>
      <c r="AE43" s="139"/>
      <c r="AF43" s="171"/>
      <c r="AG43" s="140"/>
      <c r="AH43" s="140">
        <v>1.97</v>
      </c>
      <c r="AI43" s="140">
        <v>0.67500000000000004</v>
      </c>
      <c r="AJ43" s="140">
        <v>125</v>
      </c>
      <c r="AK43" s="140">
        <v>53.07</v>
      </c>
      <c r="AL43" s="140">
        <v>10.924200000000001</v>
      </c>
      <c r="AM43" s="140">
        <v>1274.79</v>
      </c>
      <c r="AN43" s="140">
        <v>646.1</v>
      </c>
      <c r="AO43" s="140"/>
      <c r="AP43" s="140">
        <f t="shared" si="1"/>
        <v>11.599200000000002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"/>
  <sheetViews>
    <sheetView topLeftCell="C1" workbookViewId="0">
      <selection activeCell="G20" sqref="G20:H20"/>
    </sheetView>
  </sheetViews>
  <sheetFormatPr baseColWidth="10" defaultColWidth="8.90625" defaultRowHeight="14.5" x14ac:dyDescent="0.35"/>
  <sheetData>
    <row r="1" spans="1:11" ht="15" thickBot="1" x14ac:dyDescent="0.4">
      <c r="A1" s="172"/>
      <c r="B1" s="1" t="s">
        <v>0</v>
      </c>
      <c r="C1" s="2" t="s">
        <v>1</v>
      </c>
      <c r="D1" s="2" t="s">
        <v>2</v>
      </c>
      <c r="E1" s="2" t="s">
        <v>3</v>
      </c>
      <c r="F1" s="172" t="s">
        <v>1</v>
      </c>
      <c r="G1" s="172" t="s">
        <v>49</v>
      </c>
      <c r="H1" s="172" t="s">
        <v>50</v>
      </c>
      <c r="I1" s="177" t="s">
        <v>51</v>
      </c>
      <c r="J1" s="177" t="s">
        <v>52</v>
      </c>
      <c r="K1" s="177"/>
    </row>
    <row r="2" spans="1:11" ht="15" thickBot="1" x14ac:dyDescent="0.4">
      <c r="A2" s="173">
        <v>1</v>
      </c>
      <c r="B2" s="174">
        <v>10</v>
      </c>
      <c r="C2" s="175" t="s">
        <v>45</v>
      </c>
      <c r="D2" s="175">
        <v>1</v>
      </c>
      <c r="E2" s="175">
        <v>0</v>
      </c>
      <c r="F2" s="175" t="s">
        <v>46</v>
      </c>
      <c r="G2" s="174">
        <v>2026.8</v>
      </c>
      <c r="H2" s="174">
        <v>263</v>
      </c>
      <c r="I2">
        <f>G2/18093.6</f>
        <v>0.1120175089534421</v>
      </c>
      <c r="J2">
        <f>H2/3660</f>
        <v>7.1857923497267759E-2</v>
      </c>
    </row>
    <row r="3" spans="1:11" ht="15" thickBot="1" x14ac:dyDescent="0.4">
      <c r="A3" s="173">
        <v>2</v>
      </c>
      <c r="B3" s="174">
        <v>10</v>
      </c>
      <c r="C3" s="175" t="s">
        <v>45</v>
      </c>
      <c r="D3" s="175">
        <v>1</v>
      </c>
      <c r="E3" s="175">
        <v>0</v>
      </c>
      <c r="F3" s="175" t="s">
        <v>47</v>
      </c>
      <c r="G3" s="174">
        <v>62.7</v>
      </c>
      <c r="H3" s="174">
        <v>100</v>
      </c>
      <c r="I3">
        <f t="shared" ref="I3:I19" si="0">G3/18093.6</f>
        <v>3.4653137020825048E-3</v>
      </c>
      <c r="J3">
        <f t="shared" ref="J3:J19" si="1">H3/3660</f>
        <v>2.7322404371584699E-2</v>
      </c>
    </row>
    <row r="4" spans="1:11" ht="15" thickBot="1" x14ac:dyDescent="0.4">
      <c r="A4" s="173">
        <v>3</v>
      </c>
      <c r="B4" s="174">
        <v>11</v>
      </c>
      <c r="C4" s="175" t="s">
        <v>45</v>
      </c>
      <c r="D4" s="175">
        <v>1</v>
      </c>
      <c r="E4" s="175">
        <v>0</v>
      </c>
      <c r="F4" s="175" t="s">
        <v>46</v>
      </c>
      <c r="G4" s="174">
        <v>596.5</v>
      </c>
      <c r="H4" s="174">
        <v>154</v>
      </c>
      <c r="I4">
        <f t="shared" si="0"/>
        <v>3.2967458106733877E-2</v>
      </c>
      <c r="J4">
        <f t="shared" si="1"/>
        <v>4.2076502732240437E-2</v>
      </c>
    </row>
    <row r="5" spans="1:11" ht="15" thickBot="1" x14ac:dyDescent="0.4">
      <c r="A5" s="173">
        <v>4</v>
      </c>
      <c r="B5" s="174">
        <v>11</v>
      </c>
      <c r="C5" s="175" t="s">
        <v>45</v>
      </c>
      <c r="D5" s="175">
        <v>1</v>
      </c>
      <c r="E5" s="175">
        <v>0</v>
      </c>
      <c r="F5" s="175" t="s">
        <v>47</v>
      </c>
      <c r="G5" s="174">
        <v>101</v>
      </c>
      <c r="H5" s="174">
        <v>168</v>
      </c>
      <c r="I5">
        <f t="shared" si="0"/>
        <v>5.5820842728920728E-3</v>
      </c>
      <c r="J5">
        <f t="shared" si="1"/>
        <v>4.5901639344262293E-2</v>
      </c>
    </row>
    <row r="6" spans="1:11" ht="15" thickBot="1" x14ac:dyDescent="0.4">
      <c r="A6" s="173">
        <v>5</v>
      </c>
      <c r="B6" s="174">
        <v>12</v>
      </c>
      <c r="C6" s="175" t="s">
        <v>45</v>
      </c>
      <c r="D6" s="175">
        <v>1</v>
      </c>
      <c r="E6" s="175">
        <v>0</v>
      </c>
      <c r="F6" s="175" t="s">
        <v>46</v>
      </c>
      <c r="G6" s="174">
        <v>1297.9000000000001</v>
      </c>
      <c r="H6" s="176" t="s">
        <v>48</v>
      </c>
      <c r="I6">
        <f t="shared" si="0"/>
        <v>7.1732546314719023E-2</v>
      </c>
    </row>
    <row r="7" spans="1:11" ht="15" thickBot="1" x14ac:dyDescent="0.4">
      <c r="A7" s="173">
        <v>6</v>
      </c>
      <c r="B7" s="174">
        <v>12</v>
      </c>
      <c r="C7" s="175" t="s">
        <v>45</v>
      </c>
      <c r="D7" s="175">
        <v>1</v>
      </c>
      <c r="E7" s="175">
        <v>0</v>
      </c>
      <c r="F7" s="175" t="s">
        <v>47</v>
      </c>
      <c r="G7" s="176" t="s">
        <v>48</v>
      </c>
      <c r="H7" s="174">
        <v>154</v>
      </c>
      <c r="J7">
        <f t="shared" si="1"/>
        <v>4.2076502732240437E-2</v>
      </c>
    </row>
    <row r="8" spans="1:11" ht="15" thickBot="1" x14ac:dyDescent="0.4">
      <c r="A8" s="173">
        <v>7</v>
      </c>
      <c r="B8" s="174">
        <v>13</v>
      </c>
      <c r="C8" s="175" t="s">
        <v>45</v>
      </c>
      <c r="D8" s="175">
        <v>1</v>
      </c>
      <c r="E8" s="175">
        <v>1</v>
      </c>
      <c r="F8" s="175" t="s">
        <v>46</v>
      </c>
      <c r="G8" s="174">
        <v>2486</v>
      </c>
      <c r="H8" s="174">
        <v>93</v>
      </c>
      <c r="I8">
        <f t="shared" si="0"/>
        <v>0.13739664853870984</v>
      </c>
      <c r="J8">
        <f t="shared" si="1"/>
        <v>2.540983606557377E-2</v>
      </c>
    </row>
    <row r="9" spans="1:11" ht="15" thickBot="1" x14ac:dyDescent="0.4">
      <c r="A9" s="173">
        <v>8</v>
      </c>
      <c r="B9" s="174">
        <v>13</v>
      </c>
      <c r="C9" s="175" t="s">
        <v>45</v>
      </c>
      <c r="D9" s="175">
        <v>1</v>
      </c>
      <c r="E9" s="175">
        <v>1</v>
      </c>
      <c r="F9" s="175" t="s">
        <v>47</v>
      </c>
      <c r="G9" s="174">
        <v>124.6</v>
      </c>
      <c r="H9" s="174">
        <v>184</v>
      </c>
      <c r="I9">
        <f t="shared" si="0"/>
        <v>6.8864128752708139E-3</v>
      </c>
      <c r="J9">
        <f t="shared" si="1"/>
        <v>5.0273224043715849E-2</v>
      </c>
    </row>
    <row r="10" spans="1:11" ht="15" thickBot="1" x14ac:dyDescent="0.4">
      <c r="A10" s="173">
        <v>9</v>
      </c>
      <c r="B10" s="174">
        <v>14</v>
      </c>
      <c r="C10" s="175" t="s">
        <v>45</v>
      </c>
      <c r="D10" s="175">
        <v>1</v>
      </c>
      <c r="E10" s="175">
        <v>1</v>
      </c>
      <c r="F10" s="175" t="s">
        <v>46</v>
      </c>
      <c r="G10" s="174">
        <v>414.3</v>
      </c>
      <c r="H10" s="174">
        <v>81</v>
      </c>
      <c r="I10">
        <f t="shared" si="0"/>
        <v>2.2897599151081048E-2</v>
      </c>
      <c r="J10">
        <f t="shared" si="1"/>
        <v>2.2131147540983605E-2</v>
      </c>
    </row>
    <row r="11" spans="1:11" ht="15" thickBot="1" x14ac:dyDescent="0.4">
      <c r="A11" s="173">
        <v>10</v>
      </c>
      <c r="B11" s="174">
        <v>14</v>
      </c>
      <c r="C11" s="175" t="s">
        <v>45</v>
      </c>
      <c r="D11" s="175">
        <v>1</v>
      </c>
      <c r="E11" s="175">
        <v>1</v>
      </c>
      <c r="F11" s="175" t="s">
        <v>47</v>
      </c>
      <c r="G11" s="174">
        <v>202</v>
      </c>
      <c r="H11" s="174">
        <v>468</v>
      </c>
      <c r="I11">
        <f t="shared" si="0"/>
        <v>1.1164168545784146E-2</v>
      </c>
      <c r="J11">
        <f t="shared" si="1"/>
        <v>0.12786885245901639</v>
      </c>
    </row>
    <row r="12" spans="1:11" ht="15" thickBot="1" x14ac:dyDescent="0.4">
      <c r="A12" s="173">
        <v>11</v>
      </c>
      <c r="B12" s="174">
        <v>15</v>
      </c>
      <c r="C12" s="175" t="s">
        <v>45</v>
      </c>
      <c r="D12" s="175">
        <v>1</v>
      </c>
      <c r="E12" s="175">
        <v>1</v>
      </c>
      <c r="F12" s="175" t="s">
        <v>46</v>
      </c>
      <c r="G12" s="174">
        <v>713.9</v>
      </c>
      <c r="H12" s="174">
        <v>94</v>
      </c>
      <c r="I12">
        <f t="shared" si="0"/>
        <v>3.9455940221956934E-2</v>
      </c>
      <c r="J12">
        <f t="shared" si="1"/>
        <v>2.5683060109289616E-2</v>
      </c>
    </row>
    <row r="13" spans="1:11" ht="15" thickBot="1" x14ac:dyDescent="0.4">
      <c r="A13" s="173">
        <v>12</v>
      </c>
      <c r="B13" s="174">
        <v>15</v>
      </c>
      <c r="C13" s="175" t="s">
        <v>45</v>
      </c>
      <c r="D13" s="175">
        <v>1</v>
      </c>
      <c r="E13" s="175">
        <v>1</v>
      </c>
      <c r="F13" s="175" t="s">
        <v>47</v>
      </c>
      <c r="G13" s="174">
        <v>133.4</v>
      </c>
      <c r="H13" s="174">
        <v>683</v>
      </c>
      <c r="I13">
        <f t="shared" si="0"/>
        <v>7.372772693106956E-3</v>
      </c>
      <c r="J13">
        <f t="shared" si="1"/>
        <v>0.1866120218579235</v>
      </c>
    </row>
    <row r="14" spans="1:11" ht="15" thickBot="1" x14ac:dyDescent="0.4">
      <c r="A14" s="173">
        <v>13</v>
      </c>
      <c r="B14" s="174">
        <v>16</v>
      </c>
      <c r="C14" s="175" t="s">
        <v>45</v>
      </c>
      <c r="D14" s="175">
        <v>1</v>
      </c>
      <c r="E14" s="175">
        <v>2</v>
      </c>
      <c r="F14" s="175" t="s">
        <v>46</v>
      </c>
      <c r="G14" s="174">
        <v>2533.4</v>
      </c>
      <c r="H14" s="174">
        <v>220</v>
      </c>
      <c r="I14">
        <f t="shared" si="0"/>
        <v>0.14001635937569087</v>
      </c>
      <c r="J14">
        <f t="shared" si="1"/>
        <v>6.0109289617486336E-2</v>
      </c>
    </row>
    <row r="15" spans="1:11" ht="15" thickBot="1" x14ac:dyDescent="0.4">
      <c r="A15" s="173">
        <v>14</v>
      </c>
      <c r="B15" s="174">
        <v>16</v>
      </c>
      <c r="C15" s="175" t="s">
        <v>45</v>
      </c>
      <c r="D15" s="175">
        <v>1</v>
      </c>
      <c r="E15" s="175">
        <v>2</v>
      </c>
      <c r="F15" s="175" t="s">
        <v>47</v>
      </c>
      <c r="G15" s="174">
        <v>55.3</v>
      </c>
      <c r="H15" s="174">
        <v>12</v>
      </c>
      <c r="I15">
        <f t="shared" si="0"/>
        <v>3.056329309811204E-3</v>
      </c>
      <c r="J15">
        <f t="shared" si="1"/>
        <v>3.2786885245901639E-3</v>
      </c>
    </row>
    <row r="16" spans="1:11" ht="15" thickBot="1" x14ac:dyDescent="0.4">
      <c r="A16" s="173">
        <v>15</v>
      </c>
      <c r="B16" s="174">
        <v>17</v>
      </c>
      <c r="C16" s="175" t="s">
        <v>45</v>
      </c>
      <c r="D16" s="175">
        <v>1</v>
      </c>
      <c r="E16" s="175">
        <v>2</v>
      </c>
      <c r="F16" s="175" t="s">
        <v>46</v>
      </c>
      <c r="G16" s="174">
        <v>3105</v>
      </c>
      <c r="H16" s="174">
        <v>376</v>
      </c>
      <c r="I16">
        <f t="shared" si="0"/>
        <v>0.17160764027059294</v>
      </c>
      <c r="J16">
        <f t="shared" si="1"/>
        <v>0.10273224043715846</v>
      </c>
    </row>
    <row r="17" spans="1:10" ht="15" thickBot="1" x14ac:dyDescent="0.4">
      <c r="A17" s="173">
        <v>16</v>
      </c>
      <c r="B17" s="174">
        <v>17</v>
      </c>
      <c r="C17" s="175" t="s">
        <v>45</v>
      </c>
      <c r="D17" s="175">
        <v>1</v>
      </c>
      <c r="E17" s="175">
        <v>2</v>
      </c>
      <c r="F17" s="175" t="s">
        <v>47</v>
      </c>
      <c r="G17" s="174">
        <v>61.9</v>
      </c>
      <c r="H17" s="174">
        <v>6</v>
      </c>
      <c r="I17">
        <f t="shared" si="0"/>
        <v>3.42109917318831E-3</v>
      </c>
      <c r="J17">
        <f t="shared" si="1"/>
        <v>1.639344262295082E-3</v>
      </c>
    </row>
    <row r="18" spans="1:10" ht="15" thickBot="1" x14ac:dyDescent="0.4">
      <c r="A18" s="173">
        <v>17</v>
      </c>
      <c r="B18" s="174">
        <v>18</v>
      </c>
      <c r="C18" s="175" t="s">
        <v>45</v>
      </c>
      <c r="D18" s="175">
        <v>1</v>
      </c>
      <c r="E18" s="175">
        <v>2</v>
      </c>
      <c r="F18" s="175" t="s">
        <v>46</v>
      </c>
      <c r="G18" s="174">
        <v>4086</v>
      </c>
      <c r="H18" s="174">
        <v>596</v>
      </c>
      <c r="I18">
        <f t="shared" si="0"/>
        <v>0.22582570632709911</v>
      </c>
      <c r="J18">
        <f t="shared" si="1"/>
        <v>0.1628415300546448</v>
      </c>
    </row>
    <row r="19" spans="1:10" ht="15" thickBot="1" x14ac:dyDescent="0.4">
      <c r="A19" s="173">
        <v>18</v>
      </c>
      <c r="B19" s="174">
        <v>18</v>
      </c>
      <c r="C19" s="175" t="s">
        <v>45</v>
      </c>
      <c r="D19" s="175">
        <v>1</v>
      </c>
      <c r="E19" s="175">
        <v>2</v>
      </c>
      <c r="F19" s="175" t="s">
        <v>47</v>
      </c>
      <c r="G19" s="174">
        <v>92.9</v>
      </c>
      <c r="H19" s="174">
        <v>8</v>
      </c>
      <c r="I19">
        <f t="shared" si="0"/>
        <v>5.1344121678383522E-3</v>
      </c>
      <c r="J19">
        <f t="shared" si="1"/>
        <v>2.185792349726776E-3</v>
      </c>
    </row>
    <row r="20" spans="1:10" x14ac:dyDescent="0.35">
      <c r="G20">
        <f>SUM(G2:G19)</f>
        <v>18093.599999999999</v>
      </c>
      <c r="H20">
        <f>SUM(H2:H19)</f>
        <v>3660</v>
      </c>
      <c r="I20">
        <f>SUM(I2:I19)</f>
        <v>1.0000000000000002</v>
      </c>
      <c r="J20">
        <f>SUM(J2:J19)</f>
        <v>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 general</vt:lpstr>
      <vt:lpstr>relativizado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julieta pellettieri</dc:creator>
  <cp:lastModifiedBy>julieta pellettieri</cp:lastModifiedBy>
  <dcterms:created xsi:type="dcterms:W3CDTF">2015-06-05T18:17:20Z</dcterms:created>
  <dcterms:modified xsi:type="dcterms:W3CDTF">2026-04-29T14:42:25Z</dcterms:modified>
</cp:coreProperties>
</file>